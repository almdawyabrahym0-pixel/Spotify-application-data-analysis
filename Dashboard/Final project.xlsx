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Asus\Desktop\programing\Data_Analysis\TEST\داتاSpotify\archive\"/>
    </mc:Choice>
  </mc:AlternateContent>
  <xr:revisionPtr revIDLastSave="0" documentId="8_{E0077452-823C-4291-B612-CBA0D9BE37D2}" xr6:coauthVersionLast="47" xr6:coauthVersionMax="47" xr10:uidLastSave="{00000000-0000-0000-0000-000000000000}"/>
  <bookViews>
    <workbookView showSheetTabs="0" xWindow="-120" yWindow="-120" windowWidth="20730" windowHeight="11760" firstSheet="3" activeTab="4" xr2:uid="{F3B32E22-ACFA-4690-9EAB-3330AA94DA33}"/>
  </bookViews>
  <sheets>
    <sheet name="top_100" sheetId="2" r:id="rId1"/>
    <sheet name="50فنان " sheetId="3" r:id="rId2"/>
    <sheet name="50اغنيه" sheetId="4" r:id="rId3"/>
    <sheet name="pivot_top100" sheetId="6" r:id="rId4"/>
    <sheet name="Dashboard" sheetId="1" r:id="rId5"/>
    <sheet name="Dashdord_50اغنيه " sheetId="10" r:id="rId6"/>
    <sheet name="Dashboard_top100" sheetId="5" r:id="rId7"/>
    <sheet name="Dashboard_50فنان" sheetId="9" r:id="rId8"/>
  </sheets>
  <definedNames>
    <definedName name="ExternalData_1" localSheetId="2" hidden="1">'50اغنيه'!$A$1:$N$51</definedName>
    <definedName name="ExternalData_1" localSheetId="1" hidden="1">'50فنان '!$A$1:$L$51</definedName>
    <definedName name="ExternalData_1" localSheetId="0" hidden="1">top_100!$A$1:$O$101</definedName>
    <definedName name="Slicer_award_status">#N/A</definedName>
    <definedName name="Slicer_chart_performance_level">#N/A</definedName>
    <definedName name="Slicer_country">#N/A</definedName>
    <definedName name="Slicer_explicit">#N/A</definedName>
    <definedName name="Slicer_gender">#N/A</definedName>
    <definedName name="Slicer_primary_genre">#N/A</definedName>
    <definedName name="Slicer_primary_genre1">#N/A</definedName>
    <definedName name="Slicer_release_year">#N/A</definedName>
    <definedName name="Slicer_song_vibe_category">#N/A</definedName>
  </definedNames>
  <calcPr calcId="191029"/>
  <pivotCaches>
    <pivotCache cacheId="0" r:id="rId9"/>
    <pivotCache cacheId="7" r:id="rId10"/>
    <pivotCache cacheId="19"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601660-3C90-4F3A-9BA4-669F8493823D}"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4AF8ED98-2CA5-4489-A088-9B8EB79FD68C}"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CE3B7AA4-2ACC-4F74-84EB-629FC37D82FA}"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s>
</file>

<file path=xl/sharedStrings.xml><?xml version="1.0" encoding="utf-8"?>
<sst xmlns="http://schemas.openxmlformats.org/spreadsheetml/2006/main" count="1355" uniqueCount="426">
  <si>
    <t>song_title</t>
  </si>
  <si>
    <t>artist</t>
  </si>
  <si>
    <t>primary_genre</t>
  </si>
  <si>
    <t>artist_country</t>
  </si>
  <si>
    <t>release_year</t>
  </si>
  <si>
    <t>dataset_part</t>
  </si>
  <si>
    <t>total_streams_billions</t>
  </si>
  <si>
    <t>bpm</t>
  </si>
  <si>
    <t>danceability</t>
  </si>
  <si>
    <t>energy</t>
  </si>
  <si>
    <t>valence</t>
  </si>
  <si>
    <t>acousticness</t>
  </si>
  <si>
    <t>years_since_release</t>
  </si>
  <si>
    <t>streams_per_year_index</t>
  </si>
  <si>
    <t>song_vibe_category</t>
  </si>
  <si>
    <t>Blinding Lights</t>
  </si>
  <si>
    <t>The Weeknd</t>
  </si>
  <si>
    <t>Synth-Pop</t>
  </si>
  <si>
    <t>Canada</t>
  </si>
  <si>
    <t>Spotify All-Time Most Streamed Top 100</t>
  </si>
  <si>
    <t>Balanced</t>
  </si>
  <si>
    <t>Shape of You</t>
  </si>
  <si>
    <t>Ed Sheeran</t>
  </si>
  <si>
    <t>Pop/Dancehall</t>
  </si>
  <si>
    <t>UK</t>
  </si>
  <si>
    <t>Someone You Loved</t>
  </si>
  <si>
    <t>Lewis Capaldi</t>
  </si>
  <si>
    <t>Pop</t>
  </si>
  <si>
    <t>Sunflower</t>
  </si>
  <si>
    <t>Post Malone &amp; Swae Lee</t>
  </si>
  <si>
    <t>Hip-Hop/Pop</t>
  </si>
  <si>
    <t>USA</t>
  </si>
  <si>
    <t>One Dance</t>
  </si>
  <si>
    <t>Drake</t>
  </si>
  <si>
    <t>Afrobeats/Pop</t>
  </si>
  <si>
    <t>Stay</t>
  </si>
  <si>
    <t>The Kid LAROI &amp; Justin Bieber</t>
  </si>
  <si>
    <t>Australia</t>
  </si>
  <si>
    <t>Believer</t>
  </si>
  <si>
    <t>Imagine Dragons</t>
  </si>
  <si>
    <t>Alt Rock</t>
  </si>
  <si>
    <t>Rockstar</t>
  </si>
  <si>
    <t>Post Malone ft. 21 Savage</t>
  </si>
  <si>
    <t>Hip-Hop</t>
  </si>
  <si>
    <t>Dance Monkey</t>
  </si>
  <si>
    <t>Tones and I</t>
  </si>
  <si>
    <t>Happier</t>
  </si>
  <si>
    <t>Marshmello &amp; Bastille</t>
  </si>
  <si>
    <t>EDM/Pop</t>
  </si>
  <si>
    <t>USA/UK</t>
  </si>
  <si>
    <t>Senorita</t>
  </si>
  <si>
    <t>Shawn Mendes &amp; Camila Cabello</t>
  </si>
  <si>
    <t>Latin Pop</t>
  </si>
  <si>
    <t>Canada/Cuba</t>
  </si>
  <si>
    <t>Watermelon Sugar</t>
  </si>
  <si>
    <t>Harry Styles</t>
  </si>
  <si>
    <t>Indie Pop</t>
  </si>
  <si>
    <t>Perfect</t>
  </si>
  <si>
    <t>Pop/Folk</t>
  </si>
  <si>
    <t>Levitating</t>
  </si>
  <si>
    <t>Dua Lipa</t>
  </si>
  <si>
    <t>Nu-Disco</t>
  </si>
  <si>
    <t>Heat Waves</t>
  </si>
  <si>
    <t>Glass Animals</t>
  </si>
  <si>
    <t>Bad Guy</t>
  </si>
  <si>
    <t>Billie Eilish</t>
  </si>
  <si>
    <t>Electropop</t>
  </si>
  <si>
    <t>Drivers License</t>
  </si>
  <si>
    <t>Olivia Rodrigo</t>
  </si>
  <si>
    <t>Circles</t>
  </si>
  <si>
    <t>Post Malone</t>
  </si>
  <si>
    <t>Pop Rap</t>
  </si>
  <si>
    <t>Memories</t>
  </si>
  <si>
    <t>Maroon 5</t>
  </si>
  <si>
    <t>Chill/Acoustic</t>
  </si>
  <si>
    <t>Shallow</t>
  </si>
  <si>
    <t>Lady Gaga &amp; Bradley Cooper</t>
  </si>
  <si>
    <t>Pop/Country</t>
  </si>
  <si>
    <t>As It Was</t>
  </si>
  <si>
    <t>Dynamite</t>
  </si>
  <si>
    <t>BTS</t>
  </si>
  <si>
    <t>Pop/Funk</t>
  </si>
  <si>
    <t>South Korea</t>
  </si>
  <si>
    <t>Flowers</t>
  </si>
  <si>
    <t>Miley Cyrus</t>
  </si>
  <si>
    <t>Counting Stars</t>
  </si>
  <si>
    <t>OneRepublic</t>
  </si>
  <si>
    <t>Pop Rock</t>
  </si>
  <si>
    <t>Lucid Dreams</t>
  </si>
  <si>
    <t>Juice WRLD</t>
  </si>
  <si>
    <t>Emo Rap</t>
  </si>
  <si>
    <t>Closer</t>
  </si>
  <si>
    <t>The Chainsmokers ft. Halsey</t>
  </si>
  <si>
    <t>Calm Down</t>
  </si>
  <si>
    <t>Rema &amp; Selena Gomez</t>
  </si>
  <si>
    <t>Nigeria/USA</t>
  </si>
  <si>
    <t>Anti-Hero</t>
  </si>
  <si>
    <t>Taylor Swift</t>
  </si>
  <si>
    <t>Save Your Tears</t>
  </si>
  <si>
    <t>Die For You</t>
  </si>
  <si>
    <t>R&amp;B</t>
  </si>
  <si>
    <t>Lovely</t>
  </si>
  <si>
    <t>Billie Eilish &amp; Khalid</t>
  </si>
  <si>
    <t>Uptown Funk</t>
  </si>
  <si>
    <t>Mark Ronson ft. Bruno Mars</t>
  </si>
  <si>
    <t>Funk/Pop</t>
  </si>
  <si>
    <t>High Energy Dance</t>
  </si>
  <si>
    <t>Sweater Weather</t>
  </si>
  <si>
    <t>The Neighbourhood</t>
  </si>
  <si>
    <t>Indie Rock</t>
  </si>
  <si>
    <t>Cruel Summer</t>
  </si>
  <si>
    <t>Despacito</t>
  </si>
  <si>
    <t>Luis Fonsi ft. Daddy Yankee</t>
  </si>
  <si>
    <t>Reggaeton</t>
  </si>
  <si>
    <t>Puerto Rico</t>
  </si>
  <si>
    <t>Havana</t>
  </si>
  <si>
    <t>Camila Cabello ft. Young Thug</t>
  </si>
  <si>
    <t>Cuba/USA</t>
  </si>
  <si>
    <t>Easy On Me</t>
  </si>
  <si>
    <t>Adele</t>
  </si>
  <si>
    <t>Pop/Soul</t>
  </si>
  <si>
    <t>Lose Yourself</t>
  </si>
  <si>
    <t>Eminem</t>
  </si>
  <si>
    <t>Numb</t>
  </si>
  <si>
    <t>Linkin Park</t>
  </si>
  <si>
    <t>Smells Like Teen Spirit</t>
  </si>
  <si>
    <t>Nirvana</t>
  </si>
  <si>
    <t>Grunge</t>
  </si>
  <si>
    <t>Espresso</t>
  </si>
  <si>
    <t>Sabrina Carpenter</t>
  </si>
  <si>
    <t>Radioactive</t>
  </si>
  <si>
    <t>Running Up That Hill</t>
  </si>
  <si>
    <t>Kate Bush</t>
  </si>
  <si>
    <t>Art Pop</t>
  </si>
  <si>
    <t>Not Like Us</t>
  </si>
  <si>
    <t>Kendrick Lamar</t>
  </si>
  <si>
    <t>good 4 u</t>
  </si>
  <si>
    <t>Pop Punk</t>
  </si>
  <si>
    <t>All I Want for Christmas Is You</t>
  </si>
  <si>
    <t>Mariah Carey</t>
  </si>
  <si>
    <t>Holiday Pop</t>
  </si>
  <si>
    <t>Starboy</t>
  </si>
  <si>
    <t>The Weeknd ft. Daft Punk</t>
  </si>
  <si>
    <t>goosebumps</t>
  </si>
  <si>
    <t>Travis Scott</t>
  </si>
  <si>
    <t>7 rings</t>
  </si>
  <si>
    <t>Ariana Grande</t>
  </si>
  <si>
    <t>Trap Pop</t>
  </si>
  <si>
    <t>Die With A Smile</t>
  </si>
  <si>
    <t>Lady Gaga &amp; Bruno Mars</t>
  </si>
  <si>
    <t>Peaches</t>
  </si>
  <si>
    <t>Justin Bieber</t>
  </si>
  <si>
    <t>R&amp;B/Pop</t>
  </si>
  <si>
    <t>Falling</t>
  </si>
  <si>
    <t>Thunder</t>
  </si>
  <si>
    <t>Bad Habits</t>
  </si>
  <si>
    <t>Butter</t>
  </si>
  <si>
    <t>Night Changes</t>
  </si>
  <si>
    <t>One Direction</t>
  </si>
  <si>
    <t>High Hopes</t>
  </si>
  <si>
    <t>Panic! At The Disco</t>
  </si>
  <si>
    <t>Riptide</t>
  </si>
  <si>
    <t>Vance Joy</t>
  </si>
  <si>
    <t>Indie Folk</t>
  </si>
  <si>
    <t>Way Down We Go</t>
  </si>
  <si>
    <t>KALEO</t>
  </si>
  <si>
    <t>Blues Rock</t>
  </si>
  <si>
    <t>Iceland</t>
  </si>
  <si>
    <t>Heather</t>
  </si>
  <si>
    <t>Conan Gray</t>
  </si>
  <si>
    <t>Mood</t>
  </si>
  <si>
    <t>24kGoldn ft. iann dior</t>
  </si>
  <si>
    <t>Photograph</t>
  </si>
  <si>
    <t>Folk Pop</t>
  </si>
  <si>
    <t>Love Yourself</t>
  </si>
  <si>
    <t>Acoustic Pop</t>
  </si>
  <si>
    <t>Without Me</t>
  </si>
  <si>
    <t>Halsey</t>
  </si>
  <si>
    <t>Something Just Like This</t>
  </si>
  <si>
    <t>The Chainsmokers &amp; Coldplay</t>
  </si>
  <si>
    <t>Positions</t>
  </si>
  <si>
    <t>Roses</t>
  </si>
  <si>
    <t>SAINt JHN</t>
  </si>
  <si>
    <t>Thinking Out Loud</t>
  </si>
  <si>
    <t>Soul/R&amp;B</t>
  </si>
  <si>
    <t>Wrecking Ball</t>
  </si>
  <si>
    <t>golden hour</t>
  </si>
  <si>
    <t>JVKE</t>
  </si>
  <si>
    <t>Unstoppable</t>
  </si>
  <si>
    <t>Sia</t>
  </si>
  <si>
    <t>abcdefu</t>
  </si>
  <si>
    <t>GAYLE</t>
  </si>
  <si>
    <t>Sunroof</t>
  </si>
  <si>
    <t>Nicky Youre &amp; Dazy</t>
  </si>
  <si>
    <t>Beautiful Things</t>
  </si>
  <si>
    <t>Benson Boone</t>
  </si>
  <si>
    <t>middle of the night</t>
  </si>
  <si>
    <t>Elley Duhé</t>
  </si>
  <si>
    <t>Savage Love</t>
  </si>
  <si>
    <t>Jawsh 685 &amp; Jason Derulo</t>
  </si>
  <si>
    <t>NZ/USA</t>
  </si>
  <si>
    <t>APT.</t>
  </si>
  <si>
    <t>ROSE &amp; Bruno Mars</t>
  </si>
  <si>
    <t>K-Pop/Pop</t>
  </si>
  <si>
    <t>Welcome To The Black Parade</t>
  </si>
  <si>
    <t>My Chemical Romance</t>
  </si>
  <si>
    <t>Iris</t>
  </si>
  <si>
    <t>Goo Goo Dolls</t>
  </si>
  <si>
    <t>Astronaut In The Ocean</t>
  </si>
  <si>
    <t>Masked Wolf</t>
  </si>
  <si>
    <t>Levii's Jeans</t>
  </si>
  <si>
    <t>Beyoncé ft. Post Malone</t>
  </si>
  <si>
    <t>Country/Pop</t>
  </si>
  <si>
    <t>Lose Control</t>
  </si>
  <si>
    <t>Teddy Swims</t>
  </si>
  <si>
    <t>R&amp;B/Soul</t>
  </si>
  <si>
    <t>Too Sweet</t>
  </si>
  <si>
    <t>Hozier</t>
  </si>
  <si>
    <t>Ireland</t>
  </si>
  <si>
    <t>Sign of the Times</t>
  </si>
  <si>
    <t>Art Rock</t>
  </si>
  <si>
    <t>Adore You</t>
  </si>
  <si>
    <t>Arcade</t>
  </si>
  <si>
    <t>Duncan Laurence</t>
  </si>
  <si>
    <t>Netherlands</t>
  </si>
  <si>
    <t>See You Again</t>
  </si>
  <si>
    <t>Wiz Khalifa ft. Charlie Puth</t>
  </si>
  <si>
    <t>Attention</t>
  </si>
  <si>
    <t>Charlie Puth</t>
  </si>
  <si>
    <t>In The Stars</t>
  </si>
  <si>
    <t>Kiss Me More</t>
  </si>
  <si>
    <t>Doja Cat ft. SZA</t>
  </si>
  <si>
    <t>Pop/R&amp;B</t>
  </si>
  <si>
    <t>End Of Beginning</t>
  </si>
  <si>
    <t>Djo</t>
  </si>
  <si>
    <t>Ribs</t>
  </si>
  <si>
    <t>Lorde</t>
  </si>
  <si>
    <t>New Zealand</t>
  </si>
  <si>
    <t>Lemon Tree</t>
  </si>
  <si>
    <t>Fools Garden</t>
  </si>
  <si>
    <t>Germany</t>
  </si>
  <si>
    <t>Bliss</t>
  </si>
  <si>
    <t>Muse</t>
  </si>
  <si>
    <t>Stumblin' In</t>
  </si>
  <si>
    <t>Cyril &amp; Violet Skies</t>
  </si>
  <si>
    <t>Electricity</t>
  </si>
  <si>
    <t>Silk City &amp; Dua Lipa</t>
  </si>
  <si>
    <t>Blinding Lights (Remix)</t>
  </si>
  <si>
    <t>The Weeknd &amp; Rosalía</t>
  </si>
  <si>
    <t>Canada/Spain</t>
  </si>
  <si>
    <t>Falling For You</t>
  </si>
  <si>
    <t>Peachy feat. mxmtoon</t>
  </si>
  <si>
    <t>Laugh Now Cry Later</t>
  </si>
  <si>
    <t>Drake ft. Lil Durk</t>
  </si>
  <si>
    <t>Shake It Off</t>
  </si>
  <si>
    <t>artist_name</t>
  </si>
  <si>
    <t>country</t>
  </si>
  <si>
    <t>gender</t>
  </si>
  <si>
    <t>top_2025_song</t>
  </si>
  <si>
    <t>monthly_listeners</t>
  </si>
  <si>
    <t>followers_millions</t>
  </si>
  <si>
    <t>grammy_wins</t>
  </si>
  <si>
    <t>debut_year</t>
  </si>
  <si>
    <t>loyalty_ratio</t>
  </si>
  <si>
    <t>award_status</t>
  </si>
  <si>
    <t>years_in_industry</t>
  </si>
  <si>
    <t>Male</t>
  </si>
  <si>
    <t>Awarded Artist</t>
  </si>
  <si>
    <t>Female</t>
  </si>
  <si>
    <t>Fortnight</t>
  </si>
  <si>
    <t>Amen</t>
  </si>
  <si>
    <t>Bad Bunny</t>
  </si>
  <si>
    <t>NUEVAYoL</t>
  </si>
  <si>
    <t>Rising/Mainstream</t>
  </si>
  <si>
    <t>Birds Of A Feather</t>
  </si>
  <si>
    <t>Azizam</t>
  </si>
  <si>
    <t>we can't be friends</t>
  </si>
  <si>
    <t>Music For a Sushi Restaurant</t>
  </si>
  <si>
    <t>I Had Some Help</t>
  </si>
  <si>
    <t>K-Pop</t>
  </si>
  <si>
    <t>Group</t>
  </si>
  <si>
    <t>Pop/Indie</t>
  </si>
  <si>
    <t>Vampire</t>
  </si>
  <si>
    <t>KAROL G</t>
  </si>
  <si>
    <t>Colombia</t>
  </si>
  <si>
    <t>Baile Inolvidable</t>
  </si>
  <si>
    <t>Pop/Dance</t>
  </si>
  <si>
    <t>Illusion</t>
  </si>
  <si>
    <t>Lady Gaga</t>
  </si>
  <si>
    <t>Bruno Mars</t>
  </si>
  <si>
    <t>Chappell Roan</t>
  </si>
  <si>
    <t>Good Luck, Babe!</t>
  </si>
  <si>
    <t>SZA</t>
  </si>
  <si>
    <t>Saturn</t>
  </si>
  <si>
    <t>Morgan Wallen</t>
  </si>
  <si>
    <t>Country</t>
  </si>
  <si>
    <t>Eyes Closed</t>
  </si>
  <si>
    <t>Houdini</t>
  </si>
  <si>
    <t>Doja Cat</t>
  </si>
  <si>
    <t>Pop/Hip-Hop</t>
  </si>
  <si>
    <t>Nissan Altima</t>
  </si>
  <si>
    <t>ROSE</t>
  </si>
  <si>
    <t>Beyoncé</t>
  </si>
  <si>
    <t>R&amp;B/Country</t>
  </si>
  <si>
    <t>Texas Hold 'Em</t>
  </si>
  <si>
    <t>Tyla</t>
  </si>
  <si>
    <t>Afrobeats</t>
  </si>
  <si>
    <t>South Africa</t>
  </si>
  <si>
    <t>Water</t>
  </si>
  <si>
    <t>Shaboozey</t>
  </si>
  <si>
    <t>Country/Hip-Hop</t>
  </si>
  <si>
    <t>A Bar Song</t>
  </si>
  <si>
    <t>Coldplay</t>
  </si>
  <si>
    <t>feelslikeimfallinginlove</t>
  </si>
  <si>
    <t>Peso Pluma</t>
  </si>
  <si>
    <t>Regional Mexican</t>
  </si>
  <si>
    <t>Mexico</t>
  </si>
  <si>
    <t>La Durango</t>
  </si>
  <si>
    <t>Lana Del Rey</t>
  </si>
  <si>
    <t>Did you know that there's a tunnel</t>
  </si>
  <si>
    <t>Gracie Abrams</t>
  </si>
  <si>
    <t>That's So True</t>
  </si>
  <si>
    <t>Tate McRae</t>
  </si>
  <si>
    <t>Exes</t>
  </si>
  <si>
    <t>Noah Kahan</t>
  </si>
  <si>
    <t>Stick Season</t>
  </si>
  <si>
    <t>Jimin (BTS)</t>
  </si>
  <si>
    <t>Who</t>
  </si>
  <si>
    <t>Laufey</t>
  </si>
  <si>
    <t>Jazz/Indie Pop</t>
  </si>
  <si>
    <t>From The Start</t>
  </si>
  <si>
    <t>Jack Harlow</t>
  </si>
  <si>
    <t>Lovin On Me</t>
  </si>
  <si>
    <t>Rema</t>
  </si>
  <si>
    <t>Nigeria</t>
  </si>
  <si>
    <t>NewJeans</t>
  </si>
  <si>
    <t>Super Shy</t>
  </si>
  <si>
    <t>Kali Uchis</t>
  </si>
  <si>
    <t>R&amp;B/Latin</t>
  </si>
  <si>
    <t>Colombia/USA</t>
  </si>
  <si>
    <t>Muñequita</t>
  </si>
  <si>
    <t>Tommy Richman</t>
  </si>
  <si>
    <t>Million Dollar Baby</t>
  </si>
  <si>
    <t>Chayanne</t>
  </si>
  <si>
    <t>Boom</t>
  </si>
  <si>
    <t>Zach Bryan</t>
  </si>
  <si>
    <t>Country/Folk</t>
  </si>
  <si>
    <t>Pink Skies</t>
  </si>
  <si>
    <t>Valentine</t>
  </si>
  <si>
    <t>Ice Spice</t>
  </si>
  <si>
    <t>Think U the Best</t>
  </si>
  <si>
    <t>explicit</t>
  </si>
  <si>
    <t>streams_2025_billions</t>
  </si>
  <si>
    <t>duration_seconds</t>
  </si>
  <si>
    <t>peak_global_chart_position</t>
  </si>
  <si>
    <t>duration_minutes</t>
  </si>
  <si>
    <t>chart_performance_level</t>
  </si>
  <si>
    <t>streams_in_millions</t>
  </si>
  <si>
    <t>Global Hit</t>
  </si>
  <si>
    <t>Please Please Please</t>
  </si>
  <si>
    <t>Taste</t>
  </si>
  <si>
    <t>Lunch</t>
  </si>
  <si>
    <t>Boom Boom Boom Boom</t>
  </si>
  <si>
    <t>Sticky</t>
  </si>
  <si>
    <t>A Bar Song (Tipsy)</t>
  </si>
  <si>
    <t>Post Malone ft. Morgan Wallen</t>
  </si>
  <si>
    <t>Taylor Swift ft. Post Malone</t>
  </si>
  <si>
    <t>Gata Only</t>
  </si>
  <si>
    <t>FloyyMenor &amp; Cris MJ</t>
  </si>
  <si>
    <t>Chile</t>
  </si>
  <si>
    <t>Tusa</t>
  </si>
  <si>
    <t>KAROL G &amp; Nicki Minaj</t>
  </si>
  <si>
    <t>LTME Post</t>
  </si>
  <si>
    <t>Bed Chem</t>
  </si>
  <si>
    <t>Jump</t>
  </si>
  <si>
    <t>I Can Do It With A Broken Heart</t>
  </si>
  <si>
    <t>luther</t>
  </si>
  <si>
    <t>Kendrick Lamar &amp; SZA</t>
  </si>
  <si>
    <t>Hip-Hop/R&amp;B</t>
  </si>
  <si>
    <t>WILDFLOWER</t>
  </si>
  <si>
    <t>Pink Pony Club</t>
  </si>
  <si>
    <t>Femininomenon</t>
  </si>
  <si>
    <t>Like That</t>
  </si>
  <si>
    <t>Yellow</t>
  </si>
  <si>
    <t>Alternative</t>
  </si>
  <si>
    <t>Pretty Girl</t>
  </si>
  <si>
    <t>Clairo</t>
  </si>
  <si>
    <t>Top 50</t>
  </si>
  <si>
    <t>Espresso (Remix)</t>
  </si>
  <si>
    <t>Sabrina Carpenter &amp; Jimin</t>
  </si>
  <si>
    <t>Pop/K-Pop</t>
  </si>
  <si>
    <t>USA/S.Korea</t>
  </si>
  <si>
    <t>Bodyguard</t>
  </si>
  <si>
    <t>Row Labels</t>
  </si>
  <si>
    <t>Grand Total</t>
  </si>
  <si>
    <t>Sum of total_streams_billions</t>
  </si>
  <si>
    <t>Count of song_title</t>
  </si>
  <si>
    <t xml:space="preserve">ترتيب الفنانين الأكثر استماعاً </t>
  </si>
  <si>
    <t>الجو الغالب على الأغاني الضاربة</t>
  </si>
  <si>
    <t>Average of total_streams_billions</t>
  </si>
  <si>
    <t>Average of energy</t>
  </si>
  <si>
    <t>Average of danceability</t>
  </si>
  <si>
    <t>Average of streams_per_year_index</t>
  </si>
  <si>
    <t>يعرفك مين الأغنية اللي لسه بتسمع بقوة رغم مرور سنين على نزولها.</t>
  </si>
  <si>
    <t>اكثر خمس أنواع ربحيه</t>
  </si>
  <si>
    <t>View data details</t>
  </si>
  <si>
    <t>البيفيت تيبول الخاصه بالداتا افضل 100 اغنيه (كويري top 100)</t>
  </si>
  <si>
    <t>Sum of monthly_listeners</t>
  </si>
  <si>
    <t>Sum of grammy_wins</t>
  </si>
  <si>
    <t>Count of artist_name</t>
  </si>
  <si>
    <t xml:space="preserve">مين اشهر تلات فنانين استماع </t>
  </si>
  <si>
    <t>Sum of followers_millions</t>
  </si>
  <si>
    <t>اكتر اربع أنواع أغاني مسيطره علي السوق</t>
  </si>
  <si>
    <t xml:space="preserve">خريطه النجوم </t>
  </si>
  <si>
    <t>اكتر بلد فيها جوائز</t>
  </si>
  <si>
    <t>البيفيت تيبول الخاصه بداتا افضل 50 مغني في سنه 2025</t>
  </si>
  <si>
    <t>Sum of streams_2025_billions</t>
  </si>
  <si>
    <t>FALSE</t>
  </si>
  <si>
    <t>TRUE</t>
  </si>
  <si>
    <t>Average of peak_global_chart_position</t>
  </si>
  <si>
    <t>"ملوك الصدارة"</t>
  </si>
  <si>
    <t>تحليل الأداء مقابل المركز</t>
  </si>
  <si>
    <t>كام في المية من الأغاني الضاربة فيها كلمات صريحة.</t>
  </si>
  <si>
    <t>وزيع مستويات الأداء</t>
  </si>
  <si>
    <t>2-3</t>
  </si>
  <si>
    <t>&gt;3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</si>
</sst>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1"/>
      <color rgb="FFFF0000"/>
      <name val="Arial"/>
      <family val="2"/>
      <scheme val="minor"/>
    </font>
    <font>
      <sz val="18"/>
      <color rgb="FFFFFFFF"/>
      <name val="Aptos Narrow"/>
      <family val="2"/>
    </font>
    <font>
      <sz val="18"/>
      <color rgb="FFFF0000"/>
      <name val="Arial"/>
      <family val="2"/>
      <scheme val="minor"/>
    </font>
    <font>
      <sz val="20"/>
      <color rgb="FFFF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vertical="center"/>
    </xf>
    <xf numFmtId="0" fontId="0" fillId="0" borderId="0" xfId="0"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0" borderId="0" xfId="0" applyFont="1" applyAlignment="1">
      <alignment horizontal="center" vertical="center"/>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ملوك الصداره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pivot_top100!$B$85</c:f>
              <c:strCache>
                <c:ptCount val="1"/>
                <c:pt idx="0">
                  <c:v>Total</c:v>
                </c:pt>
              </c:strCache>
            </c:strRef>
          </c:tx>
          <c:spPr>
            <a:solidFill>
              <a:schemeClr val="accent1"/>
            </a:solidFill>
            <a:ln>
              <a:noFill/>
            </a:ln>
            <a:effectLst/>
          </c:spPr>
          <c:invertIfNegative val="0"/>
          <c:cat>
            <c:strRef>
              <c:f>pivot_top100!$A$86:$A$96</c:f>
              <c:strCache>
                <c:ptCount val="10"/>
                <c:pt idx="0">
                  <c:v>Die With A Smile</c:v>
                </c:pt>
                <c:pt idx="1">
                  <c:v>APT.</c:v>
                </c:pt>
                <c:pt idx="2">
                  <c:v>Espresso</c:v>
                </c:pt>
                <c:pt idx="3">
                  <c:v>Please Please Please</c:v>
                </c:pt>
                <c:pt idx="4">
                  <c:v>Taste</c:v>
                </c:pt>
                <c:pt idx="5">
                  <c:v>Birds Of A Feather</c:v>
                </c:pt>
                <c:pt idx="6">
                  <c:v>Not Like Us</c:v>
                </c:pt>
                <c:pt idx="7">
                  <c:v>Good Luck, Babe!</c:v>
                </c:pt>
                <c:pt idx="8">
                  <c:v>Beautiful Things</c:v>
                </c:pt>
                <c:pt idx="9">
                  <c:v>Lose Control</c:v>
                </c:pt>
              </c:strCache>
            </c:strRef>
          </c:cat>
          <c:val>
            <c:numRef>
              <c:f>pivot_top100!$B$86:$B$96</c:f>
              <c:numCache>
                <c:formatCode>General</c:formatCode>
                <c:ptCount val="10"/>
                <c:pt idx="0">
                  <c:v>1.7000000476837158</c:v>
                </c:pt>
                <c:pt idx="1">
                  <c:v>1.6200000047683716</c:v>
                </c:pt>
                <c:pt idx="2">
                  <c:v>1.5499999523162842</c:v>
                </c:pt>
                <c:pt idx="3">
                  <c:v>1.4800000190734863</c:v>
                </c:pt>
                <c:pt idx="4">
                  <c:v>1.4099999666213989</c:v>
                </c:pt>
                <c:pt idx="5">
                  <c:v>1.3799999952316284</c:v>
                </c:pt>
                <c:pt idx="6">
                  <c:v>1.3500000238418579</c:v>
                </c:pt>
                <c:pt idx="7">
                  <c:v>1.2899999618530273</c:v>
                </c:pt>
                <c:pt idx="8">
                  <c:v>1.2400000095367432</c:v>
                </c:pt>
                <c:pt idx="9">
                  <c:v>1.2000000476837158</c:v>
                </c:pt>
              </c:numCache>
            </c:numRef>
          </c:val>
          <c:extLst>
            <c:ext xmlns:c16="http://schemas.microsoft.com/office/drawing/2014/chart" uri="{C3380CC4-5D6E-409C-BE32-E72D297353CC}">
              <c16:uniqueId val="{00000000-57F1-4CE8-BE20-C813493D01EE}"/>
            </c:ext>
          </c:extLst>
        </c:ser>
        <c:dLbls>
          <c:showLegendKey val="0"/>
          <c:showVal val="0"/>
          <c:showCatName val="0"/>
          <c:showSerName val="0"/>
          <c:showPercent val="0"/>
          <c:showBubbleSize val="0"/>
        </c:dLbls>
        <c:gapWidth val="219"/>
        <c:overlap val="-27"/>
        <c:axId val="944403016"/>
        <c:axId val="944401216"/>
      </c:barChart>
      <c:catAx>
        <c:axId val="944403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4401216"/>
        <c:crosses val="autoZero"/>
        <c:auto val="1"/>
        <c:lblAlgn val="ctr"/>
        <c:lblOffset val="100"/>
        <c:noMultiLvlLbl val="0"/>
      </c:catAx>
      <c:valAx>
        <c:axId val="9444012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44030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تحليل الاداء مقابل المركز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pivot_top100!$D$85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A9-40D1-87A0-357692C7F9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A9-40D1-87A0-357692C7F91E}"/>
              </c:ext>
            </c:extLst>
          </c:dPt>
          <c:cat>
            <c:strRef>
              <c:f>pivot_top100!$C$86:$C$88</c:f>
              <c:strCache>
                <c:ptCount val="2"/>
                <c:pt idx="0">
                  <c:v>Global Hit</c:v>
                </c:pt>
                <c:pt idx="1">
                  <c:v>Top 50</c:v>
                </c:pt>
              </c:strCache>
            </c:strRef>
          </c:cat>
          <c:val>
            <c:numRef>
              <c:f>pivot_top100!$D$86:$D$88</c:f>
              <c:numCache>
                <c:formatCode>General</c:formatCode>
                <c:ptCount val="2"/>
                <c:pt idx="0">
                  <c:v>1.5510204081632653</c:v>
                </c:pt>
                <c:pt idx="1">
                  <c:v>22</c:v>
                </c:pt>
              </c:numCache>
            </c:numRef>
          </c:val>
          <c:extLst>
            <c:ext xmlns:c16="http://schemas.microsoft.com/office/drawing/2014/chart" uri="{C3380CC4-5D6E-409C-BE32-E72D297353CC}">
              <c16:uniqueId val="{00000004-F7A9-40D1-87A0-357692C7F91E}"/>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توزرع الاداء</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pivot_top100!$F$85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F4-46BB-A839-F92CF23D32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F4-46BB-A839-F92CF23D326B}"/>
              </c:ext>
            </c:extLst>
          </c:dPt>
          <c:cat>
            <c:strRef>
              <c:f>pivot_top100!$E$86:$E$88</c:f>
              <c:strCache>
                <c:ptCount val="2"/>
                <c:pt idx="0">
                  <c:v>Global Hit</c:v>
                </c:pt>
                <c:pt idx="1">
                  <c:v>Top 50</c:v>
                </c:pt>
              </c:strCache>
            </c:strRef>
          </c:cat>
          <c:val>
            <c:numRef>
              <c:f>pivot_top100!$F$86:$F$88</c:f>
              <c:numCache>
                <c:formatCode>General</c:formatCode>
                <c:ptCount val="2"/>
                <c:pt idx="0">
                  <c:v>49</c:v>
                </c:pt>
                <c:pt idx="1">
                  <c:v>1</c:v>
                </c:pt>
              </c:numCache>
            </c:numRef>
          </c:val>
          <c:extLst>
            <c:ext xmlns:c16="http://schemas.microsoft.com/office/drawing/2014/chart" uri="{C3380CC4-5D6E-409C-BE32-E72D297353CC}">
              <c16:uniqueId val="{00000004-CEF4-46BB-A839-F92CF23D326B}"/>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ايه هيا الاغاني الصحيحه</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pivot_top100!$I$85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DC-4796-BD3D-33116B5BE5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C-4796-BD3D-33116B5BE5AD}"/>
              </c:ext>
            </c:extLst>
          </c:dPt>
          <c:cat>
            <c:strRef>
              <c:f>pivot_top100!$H$86:$H$88</c:f>
              <c:strCache>
                <c:ptCount val="2"/>
                <c:pt idx="0">
                  <c:v>FALSE</c:v>
                </c:pt>
                <c:pt idx="1">
                  <c:v>TRUE</c:v>
                </c:pt>
              </c:strCache>
            </c:strRef>
          </c:cat>
          <c:val>
            <c:numRef>
              <c:f>pivot_top100!$I$86:$I$88</c:f>
              <c:numCache>
                <c:formatCode>General</c:formatCode>
                <c:ptCount val="2"/>
                <c:pt idx="0">
                  <c:v>43</c:v>
                </c:pt>
                <c:pt idx="1">
                  <c:v>7</c:v>
                </c:pt>
              </c:numCache>
            </c:numRef>
          </c:val>
          <c:extLst>
            <c:ext xmlns:c16="http://schemas.microsoft.com/office/drawing/2014/chart" uri="{C3380CC4-5D6E-409C-BE32-E72D297353CC}">
              <c16:uniqueId val="{00000004-87DC-4796-BD3D-33116B5BE5AD}"/>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حجم</a:t>
            </a:r>
            <a:r>
              <a:rPr lang="ar-EG" baseline="0"/>
              <a:t> وقت الاغنيه الاكثر استماع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pivot_top100!$L$85</c:f>
              <c:strCache>
                <c:ptCount val="1"/>
                <c:pt idx="0">
                  <c:v>Total</c:v>
                </c:pt>
              </c:strCache>
            </c:strRef>
          </c:tx>
          <c:spPr>
            <a:solidFill>
              <a:schemeClr val="accent1"/>
            </a:solidFill>
            <a:ln>
              <a:noFill/>
            </a:ln>
            <a:effectLst/>
          </c:spPr>
          <c:invertIfNegative val="0"/>
          <c:cat>
            <c:strRef>
              <c:f>pivot_top100!$K$86:$K$88</c:f>
              <c:strCache>
                <c:ptCount val="2"/>
                <c:pt idx="0">
                  <c:v>2-3</c:v>
                </c:pt>
                <c:pt idx="1">
                  <c:v>&gt;3</c:v>
                </c:pt>
              </c:strCache>
            </c:strRef>
          </c:cat>
          <c:val>
            <c:numRef>
              <c:f>pivot_top100!$L$86:$L$88</c:f>
              <c:numCache>
                <c:formatCode>General</c:formatCode>
                <c:ptCount val="2"/>
                <c:pt idx="0">
                  <c:v>14</c:v>
                </c:pt>
                <c:pt idx="1">
                  <c:v>36</c:v>
                </c:pt>
              </c:numCache>
            </c:numRef>
          </c:val>
          <c:extLst>
            <c:ext xmlns:c16="http://schemas.microsoft.com/office/drawing/2014/chart" uri="{C3380CC4-5D6E-409C-BE32-E72D297353CC}">
              <c16:uniqueId val="{00000000-4566-4EC4-9DD2-7C155AD0C8B8}"/>
            </c:ext>
          </c:extLst>
        </c:ser>
        <c:dLbls>
          <c:showLegendKey val="0"/>
          <c:showVal val="0"/>
          <c:showCatName val="0"/>
          <c:showSerName val="0"/>
          <c:showPercent val="0"/>
          <c:showBubbleSize val="0"/>
        </c:dLbls>
        <c:gapWidth val="219"/>
        <c:overlap val="-27"/>
        <c:axId val="947394136"/>
        <c:axId val="947394856"/>
      </c:barChart>
      <c:catAx>
        <c:axId val="9473941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7394856"/>
        <c:crosses val="autoZero"/>
        <c:auto val="1"/>
        <c:lblAlgn val="ctr"/>
        <c:lblOffset val="100"/>
        <c:noMultiLvlLbl val="0"/>
      </c:catAx>
      <c:valAx>
        <c:axId val="94739485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73941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ترتيب الفنانين الأكثر استماعاً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pivot_top100!$B$11</c:f>
              <c:strCache>
                <c:ptCount val="1"/>
                <c:pt idx="0">
                  <c:v>Sum of total_streams_billions</c:v>
                </c:pt>
              </c:strCache>
            </c:strRef>
          </c:tx>
          <c:spPr>
            <a:solidFill>
              <a:schemeClr val="accent1"/>
            </a:solidFill>
            <a:ln>
              <a:noFill/>
            </a:ln>
            <a:effectLst/>
          </c:spPr>
          <c:invertIfNegative val="0"/>
          <c:cat>
            <c:strRef>
              <c:f>pivot_top100!$A$12:$A$22</c:f>
              <c:strCache>
                <c:ptCount val="10"/>
                <c:pt idx="0">
                  <c:v>Ed Sheeran</c:v>
                </c:pt>
                <c:pt idx="1">
                  <c:v>Harry Styles</c:v>
                </c:pt>
                <c:pt idx="2">
                  <c:v>The Weeknd</c:v>
                </c:pt>
                <c:pt idx="3">
                  <c:v>Imagine Dragons</c:v>
                </c:pt>
                <c:pt idx="4">
                  <c:v>Taylor Swift</c:v>
                </c:pt>
                <c:pt idx="5">
                  <c:v>Miley Cyrus</c:v>
                </c:pt>
                <c:pt idx="6">
                  <c:v>Ariana Grande</c:v>
                </c:pt>
                <c:pt idx="7">
                  <c:v>Olivia Rodrigo</c:v>
                </c:pt>
                <c:pt idx="8">
                  <c:v>BTS</c:v>
                </c:pt>
                <c:pt idx="9">
                  <c:v>Justin Bieber</c:v>
                </c:pt>
              </c:strCache>
            </c:strRef>
          </c:cat>
          <c:val>
            <c:numRef>
              <c:f>pivot_top100!$B$12:$B$22</c:f>
              <c:numCache>
                <c:formatCode>General</c:formatCode>
                <c:ptCount val="10"/>
                <c:pt idx="0">
                  <c:v>15.620000004768372</c:v>
                </c:pt>
                <c:pt idx="1">
                  <c:v>13.149999976158142</c:v>
                </c:pt>
                <c:pt idx="2">
                  <c:v>11.000000238418579</c:v>
                </c:pt>
                <c:pt idx="3">
                  <c:v>8.9900000095367432</c:v>
                </c:pt>
                <c:pt idx="4">
                  <c:v>7.3100000619888306</c:v>
                </c:pt>
                <c:pt idx="5">
                  <c:v>5.2400000095367432</c:v>
                </c:pt>
                <c:pt idx="6">
                  <c:v>5.2100000381469727</c:v>
                </c:pt>
                <c:pt idx="7">
                  <c:v>4.8199999332427979</c:v>
                </c:pt>
                <c:pt idx="8">
                  <c:v>4.7900000810623169</c:v>
                </c:pt>
                <c:pt idx="9">
                  <c:v>4.5300000905990601</c:v>
                </c:pt>
              </c:numCache>
            </c:numRef>
          </c:val>
          <c:extLst>
            <c:ext xmlns:c16="http://schemas.microsoft.com/office/drawing/2014/chart" uri="{C3380CC4-5D6E-409C-BE32-E72D297353CC}">
              <c16:uniqueId val="{00000000-719C-4CD1-8A6F-7341FEF2153E}"/>
            </c:ext>
          </c:extLst>
        </c:ser>
        <c:ser>
          <c:idx val="1"/>
          <c:order val="1"/>
          <c:tx>
            <c:strRef>
              <c:f>pivot_top100!$C$11</c:f>
              <c:strCache>
                <c:ptCount val="1"/>
                <c:pt idx="0">
                  <c:v>Count of song_title</c:v>
                </c:pt>
              </c:strCache>
            </c:strRef>
          </c:tx>
          <c:spPr>
            <a:solidFill>
              <a:schemeClr val="accent2"/>
            </a:solidFill>
            <a:ln>
              <a:noFill/>
            </a:ln>
            <a:effectLst/>
          </c:spPr>
          <c:invertIfNegative val="0"/>
          <c:cat>
            <c:strRef>
              <c:f>pivot_top100!$A$12:$A$22</c:f>
              <c:strCache>
                <c:ptCount val="10"/>
                <c:pt idx="0">
                  <c:v>Ed Sheeran</c:v>
                </c:pt>
                <c:pt idx="1">
                  <c:v>Harry Styles</c:v>
                </c:pt>
                <c:pt idx="2">
                  <c:v>The Weeknd</c:v>
                </c:pt>
                <c:pt idx="3">
                  <c:v>Imagine Dragons</c:v>
                </c:pt>
                <c:pt idx="4">
                  <c:v>Taylor Swift</c:v>
                </c:pt>
                <c:pt idx="5">
                  <c:v>Miley Cyrus</c:v>
                </c:pt>
                <c:pt idx="6">
                  <c:v>Ariana Grande</c:v>
                </c:pt>
                <c:pt idx="7">
                  <c:v>Olivia Rodrigo</c:v>
                </c:pt>
                <c:pt idx="8">
                  <c:v>BTS</c:v>
                </c:pt>
                <c:pt idx="9">
                  <c:v>Justin Bieber</c:v>
                </c:pt>
              </c:strCache>
            </c:strRef>
          </c:cat>
          <c:val>
            <c:numRef>
              <c:f>pivot_top100!$C$12:$C$22</c:f>
              <c:numCache>
                <c:formatCode>General</c:formatCode>
                <c:ptCount val="10"/>
                <c:pt idx="0">
                  <c:v>5</c:v>
                </c:pt>
                <c:pt idx="1">
                  <c:v>5</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1-719C-4CD1-8A6F-7341FEF2153E}"/>
            </c:ext>
          </c:extLst>
        </c:ser>
        <c:dLbls>
          <c:showLegendKey val="0"/>
          <c:showVal val="0"/>
          <c:showCatName val="0"/>
          <c:showSerName val="0"/>
          <c:showPercent val="0"/>
          <c:showBubbleSize val="0"/>
        </c:dLbls>
        <c:gapWidth val="182"/>
        <c:axId val="518058904"/>
        <c:axId val="518063224"/>
      </c:barChart>
      <c:catAx>
        <c:axId val="51805890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18063224"/>
        <c:crosses val="autoZero"/>
        <c:auto val="1"/>
        <c:lblAlgn val="ctr"/>
        <c:lblOffset val="100"/>
        <c:noMultiLvlLbl val="0"/>
      </c:catAx>
      <c:valAx>
        <c:axId val="5180632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1805890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الجو الغالب على الأغاني الضاربة</a:t>
            </a:r>
            <a:endParaRPr lang="en-GB"/>
          </a:p>
        </c:rich>
      </c:tx>
      <c:layout>
        <c:manualLayout>
          <c:xMode val="edge"/>
          <c:yMode val="edge"/>
          <c:x val="0.4063123359580052"/>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pivot_top100!$E$11</c:f>
              <c:strCache>
                <c:ptCount val="1"/>
                <c:pt idx="0">
                  <c:v>Average of total_streams_billions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20-4A69-AC6C-5A70FB50D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20-4A69-AC6C-5A70FB50D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20-4A69-AC6C-5A70FB50D77A}"/>
              </c:ext>
            </c:extLst>
          </c:dPt>
          <c:cat>
            <c:strRef>
              <c:f>pivot_top100!$D$12:$D$15</c:f>
              <c:strCache>
                <c:ptCount val="3"/>
                <c:pt idx="0">
                  <c:v>Balanced</c:v>
                </c:pt>
                <c:pt idx="1">
                  <c:v>Chill/Acoustic</c:v>
                </c:pt>
                <c:pt idx="2">
                  <c:v>High Energy Dance</c:v>
                </c:pt>
              </c:strCache>
            </c:strRef>
          </c:cat>
          <c:val>
            <c:numRef>
              <c:f>pivot_top100!$E$12:$E$15</c:f>
              <c:numCache>
                <c:formatCode>General</c:formatCode>
                <c:ptCount val="3"/>
                <c:pt idx="0">
                  <c:v>2.5448351705467309</c:v>
                </c:pt>
                <c:pt idx="1">
                  <c:v>2.293749988079071</c:v>
                </c:pt>
                <c:pt idx="2">
                  <c:v>2.5299999713897705</c:v>
                </c:pt>
              </c:numCache>
            </c:numRef>
          </c:val>
          <c:extLst>
            <c:ext xmlns:c16="http://schemas.microsoft.com/office/drawing/2014/chart" uri="{C3380CC4-5D6E-409C-BE32-E72D297353CC}">
              <c16:uniqueId val="{00000006-CE20-4A69-AC6C-5A70FB50D77A}"/>
            </c:ext>
          </c:extLst>
        </c:ser>
        <c:ser>
          <c:idx val="1"/>
          <c:order val="1"/>
          <c:tx>
            <c:strRef>
              <c:f>pivot_top100!$F$11</c:f>
              <c:strCache>
                <c:ptCount val="1"/>
                <c:pt idx="0">
                  <c:v>Average of energy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E20-4A69-AC6C-5A70FB50D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E20-4A69-AC6C-5A70FB50D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CE20-4A69-AC6C-5A70FB50D77A}"/>
              </c:ext>
            </c:extLst>
          </c:dPt>
          <c:cat>
            <c:strRef>
              <c:f>pivot_top100!$D$12:$D$15</c:f>
              <c:strCache>
                <c:ptCount val="3"/>
                <c:pt idx="0">
                  <c:v>Balanced</c:v>
                </c:pt>
                <c:pt idx="1">
                  <c:v>Chill/Acoustic</c:v>
                </c:pt>
                <c:pt idx="2">
                  <c:v>High Energy Dance</c:v>
                </c:pt>
              </c:strCache>
            </c:strRef>
          </c:cat>
          <c:val>
            <c:numRef>
              <c:f>pivot_top100!$F$12:$F$15</c:f>
              <c:numCache>
                <c:formatCode>General</c:formatCode>
                <c:ptCount val="3"/>
                <c:pt idx="0">
                  <c:v>0.6604395623390491</c:v>
                </c:pt>
                <c:pt idx="1">
                  <c:v>0.31875000521540642</c:v>
                </c:pt>
                <c:pt idx="2">
                  <c:v>0.95999997854232788</c:v>
                </c:pt>
              </c:numCache>
            </c:numRef>
          </c:val>
          <c:extLst>
            <c:ext xmlns:c16="http://schemas.microsoft.com/office/drawing/2014/chart" uri="{C3380CC4-5D6E-409C-BE32-E72D297353CC}">
              <c16:uniqueId val="{0000000D-CE20-4A69-AC6C-5A70FB50D77A}"/>
            </c:ext>
          </c:extLst>
        </c:ser>
        <c:ser>
          <c:idx val="2"/>
          <c:order val="2"/>
          <c:tx>
            <c:strRef>
              <c:f>pivot_top100!$G$11</c:f>
              <c:strCache>
                <c:ptCount val="1"/>
                <c:pt idx="0">
                  <c:v>Average of danceability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CE20-4A69-AC6C-5A70FB50D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CE20-4A69-AC6C-5A70FB50D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CE20-4A69-AC6C-5A70FB50D77A}"/>
              </c:ext>
            </c:extLst>
          </c:dPt>
          <c:cat>
            <c:strRef>
              <c:f>pivot_top100!$D$12:$D$15</c:f>
              <c:strCache>
                <c:ptCount val="3"/>
                <c:pt idx="0">
                  <c:v>Balanced</c:v>
                </c:pt>
                <c:pt idx="1">
                  <c:v>Chill/Acoustic</c:v>
                </c:pt>
                <c:pt idx="2">
                  <c:v>High Energy Dance</c:v>
                </c:pt>
              </c:strCache>
            </c:strRef>
          </c:cat>
          <c:val>
            <c:numRef>
              <c:f>pivot_top100!$G$12:$G$15</c:f>
              <c:numCache>
                <c:formatCode>General</c:formatCode>
                <c:ptCount val="3"/>
                <c:pt idx="0">
                  <c:v>0.62351648460377707</c:v>
                </c:pt>
                <c:pt idx="1">
                  <c:v>0.46374999731779099</c:v>
                </c:pt>
                <c:pt idx="2">
                  <c:v>0.89999997615814209</c:v>
                </c:pt>
              </c:numCache>
            </c:numRef>
          </c:val>
          <c:extLst>
            <c:ext xmlns:c16="http://schemas.microsoft.com/office/drawing/2014/chart" uri="{C3380CC4-5D6E-409C-BE32-E72D297353CC}">
              <c16:uniqueId val="{00000014-CE20-4A69-AC6C-5A70FB50D77A}"/>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ايه</a:t>
            </a:r>
            <a:r>
              <a:rPr lang="ar-EG" baseline="0"/>
              <a:t> الاغنيه اللي لسه بتسسمع رغم السنين </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pivot_top100!$I$11</c:f>
              <c:strCache>
                <c:ptCount val="1"/>
                <c:pt idx="0">
                  <c:v>Total</c:v>
                </c:pt>
              </c:strCache>
            </c:strRef>
          </c:tx>
          <c:spPr>
            <a:solidFill>
              <a:schemeClr val="accent1"/>
            </a:solidFill>
            <a:ln>
              <a:noFill/>
            </a:ln>
            <a:effectLst/>
          </c:spPr>
          <c:invertIfNegative val="0"/>
          <c:cat>
            <c:strRef>
              <c:f>pivot_top100!$H$12:$H$22</c:f>
              <c:strCache>
                <c:ptCount val="10"/>
                <c:pt idx="0">
                  <c:v>Flowers</c:v>
                </c:pt>
                <c:pt idx="1">
                  <c:v>Blinding Lights</c:v>
                </c:pt>
                <c:pt idx="2">
                  <c:v>Stay</c:v>
                </c:pt>
                <c:pt idx="3">
                  <c:v>As It Was</c:v>
                </c:pt>
                <c:pt idx="4">
                  <c:v>Die With A Smile</c:v>
                </c:pt>
                <c:pt idx="5">
                  <c:v>Calm Down</c:v>
                </c:pt>
                <c:pt idx="6">
                  <c:v>Anti-Hero</c:v>
                </c:pt>
                <c:pt idx="7">
                  <c:v>Espresso</c:v>
                </c:pt>
                <c:pt idx="8">
                  <c:v>Levii's Jeans</c:v>
                </c:pt>
                <c:pt idx="9">
                  <c:v>Drivers License</c:v>
                </c:pt>
              </c:strCache>
            </c:strRef>
          </c:cat>
          <c:val>
            <c:numRef>
              <c:f>pivot_top100!$I$12:$I$22</c:f>
              <c:numCache>
                <c:formatCode>General</c:formatCode>
                <c:ptCount val="10"/>
                <c:pt idx="0">
                  <c:v>0.79</c:v>
                </c:pt>
                <c:pt idx="1">
                  <c:v>0.65800000000000003</c:v>
                </c:pt>
                <c:pt idx="2">
                  <c:v>0.64500000000000002</c:v>
                </c:pt>
                <c:pt idx="3">
                  <c:v>0.64400000000000002</c:v>
                </c:pt>
                <c:pt idx="4">
                  <c:v>0.61299999999999999</c:v>
                </c:pt>
                <c:pt idx="5">
                  <c:v>0.60399999999999998</c:v>
                </c:pt>
                <c:pt idx="6">
                  <c:v>0.59799999999999998</c:v>
                </c:pt>
                <c:pt idx="7">
                  <c:v>0.58699999999999997</c:v>
                </c:pt>
                <c:pt idx="8">
                  <c:v>0.56000000000000005</c:v>
                </c:pt>
                <c:pt idx="9">
                  <c:v>0.55700000000000005</c:v>
                </c:pt>
              </c:numCache>
            </c:numRef>
          </c:val>
          <c:extLst>
            <c:ext xmlns:c16="http://schemas.microsoft.com/office/drawing/2014/chart" uri="{C3380CC4-5D6E-409C-BE32-E72D297353CC}">
              <c16:uniqueId val="{00000000-23BA-4399-B493-51DDDEF462DE}"/>
            </c:ext>
          </c:extLst>
        </c:ser>
        <c:dLbls>
          <c:showLegendKey val="0"/>
          <c:showVal val="0"/>
          <c:showCatName val="0"/>
          <c:showSerName val="0"/>
          <c:showPercent val="0"/>
          <c:showBubbleSize val="0"/>
        </c:dLbls>
        <c:gapWidth val="219"/>
        <c:overlap val="-27"/>
        <c:axId val="983931176"/>
        <c:axId val="983930816"/>
      </c:barChart>
      <c:catAx>
        <c:axId val="9839311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83930816"/>
        <c:crosses val="autoZero"/>
        <c:auto val="1"/>
        <c:lblAlgn val="ctr"/>
        <c:lblOffset val="100"/>
        <c:noMultiLvlLbl val="0"/>
      </c:catAx>
      <c:valAx>
        <c:axId val="9839308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83931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اكتر خمس أنواع أغاني ربحيه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pivot_top100!$K$11</c:f>
              <c:strCache>
                <c:ptCount val="1"/>
                <c:pt idx="0">
                  <c:v>Total</c:v>
                </c:pt>
              </c:strCache>
            </c:strRef>
          </c:tx>
          <c:spPr>
            <a:solidFill>
              <a:schemeClr val="accent1"/>
            </a:solidFill>
            <a:ln>
              <a:noFill/>
            </a:ln>
            <a:effectLst/>
          </c:spPr>
          <c:invertIfNegative val="0"/>
          <c:cat>
            <c:strRef>
              <c:f>pivot_top100!$J$12:$J$17</c:f>
              <c:strCache>
                <c:ptCount val="5"/>
                <c:pt idx="0">
                  <c:v>Pop</c:v>
                </c:pt>
                <c:pt idx="1">
                  <c:v>Indie Pop</c:v>
                </c:pt>
                <c:pt idx="2">
                  <c:v>Hip-Hop</c:v>
                </c:pt>
                <c:pt idx="3">
                  <c:v>Synth-Pop</c:v>
                </c:pt>
                <c:pt idx="4">
                  <c:v>Alt Rock</c:v>
                </c:pt>
              </c:strCache>
            </c:strRef>
          </c:cat>
          <c:val>
            <c:numRef>
              <c:f>pivot_top100!$K$12:$K$17</c:f>
              <c:numCache>
                <c:formatCode>General</c:formatCode>
                <c:ptCount val="5"/>
                <c:pt idx="0">
                  <c:v>43.970000147819519</c:v>
                </c:pt>
                <c:pt idx="1">
                  <c:v>29.489999890327454</c:v>
                </c:pt>
                <c:pt idx="2">
                  <c:v>17.930000066757202</c:v>
                </c:pt>
                <c:pt idx="3">
                  <c:v>16.540000319480896</c:v>
                </c:pt>
                <c:pt idx="4">
                  <c:v>15.930000066757202</c:v>
                </c:pt>
              </c:numCache>
            </c:numRef>
          </c:val>
          <c:extLst>
            <c:ext xmlns:c16="http://schemas.microsoft.com/office/drawing/2014/chart" uri="{C3380CC4-5D6E-409C-BE32-E72D297353CC}">
              <c16:uniqueId val="{00000000-6DD3-4AB9-956D-FD5CA8B23150}"/>
            </c:ext>
          </c:extLst>
        </c:ser>
        <c:dLbls>
          <c:showLegendKey val="0"/>
          <c:showVal val="0"/>
          <c:showCatName val="0"/>
          <c:showSerName val="0"/>
          <c:showPercent val="0"/>
          <c:showBubbleSize val="0"/>
        </c:dLbls>
        <c:gapWidth val="219"/>
        <c:overlap val="-27"/>
        <c:axId val="973110368"/>
        <c:axId val="973112528"/>
      </c:barChart>
      <c:catAx>
        <c:axId val="97311036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73112528"/>
        <c:crosses val="autoZero"/>
        <c:auto val="1"/>
        <c:lblAlgn val="ctr"/>
        <c:lblOffset val="100"/>
        <c:noMultiLvlLbl val="0"/>
      </c:catAx>
      <c:valAx>
        <c:axId val="97311252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731103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اشهر تلات فنانين استماع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pivot_top100!$B$30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FD-4B1C-B805-C2613E0AA3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FD-4B1C-B805-C2613E0AA3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FD-4B1C-B805-C2613E0AA37A}"/>
              </c:ext>
            </c:extLst>
          </c:dPt>
          <c:cat>
            <c:strRef>
              <c:f>pivot_top100!$A$31:$A$34</c:f>
              <c:strCache>
                <c:ptCount val="3"/>
                <c:pt idx="0">
                  <c:v>The Weeknd</c:v>
                </c:pt>
                <c:pt idx="1">
                  <c:v>Taylor Swift</c:v>
                </c:pt>
                <c:pt idx="2">
                  <c:v>Drake</c:v>
                </c:pt>
              </c:strCache>
            </c:strRef>
          </c:cat>
          <c:val>
            <c:numRef>
              <c:f>pivot_top100!$B$31:$B$34</c:f>
              <c:numCache>
                <c:formatCode>General</c:formatCode>
                <c:ptCount val="3"/>
                <c:pt idx="0">
                  <c:v>110.40000152587891</c:v>
                </c:pt>
                <c:pt idx="1">
                  <c:v>107.5</c:v>
                </c:pt>
                <c:pt idx="2">
                  <c:v>88.599998474121094</c:v>
                </c:pt>
              </c:numCache>
            </c:numRef>
          </c:val>
          <c:extLst>
            <c:ext xmlns:c16="http://schemas.microsoft.com/office/drawing/2014/chart" uri="{C3380CC4-5D6E-409C-BE32-E72D297353CC}">
              <c16:uniqueId val="{00000006-4BFD-4B1C-B805-C2613E0AA37A}"/>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اكتر</a:t>
            </a:r>
            <a:r>
              <a:rPr lang="ar-EG" baseline="0"/>
              <a:t> اربع انواع اغاني مسيطره علي السوق</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pivot_top100!$E$30</c:f>
              <c:strCache>
                <c:ptCount val="1"/>
                <c:pt idx="0">
                  <c:v>Total</c:v>
                </c:pt>
              </c:strCache>
            </c:strRef>
          </c:tx>
          <c:spPr>
            <a:solidFill>
              <a:schemeClr val="accent1"/>
            </a:solidFill>
            <a:ln>
              <a:noFill/>
            </a:ln>
            <a:effectLst/>
          </c:spPr>
          <c:invertIfNegative val="0"/>
          <c:cat>
            <c:strRef>
              <c:f>pivot_top100!$D$31:$D$35</c:f>
              <c:strCache>
                <c:ptCount val="4"/>
                <c:pt idx="0">
                  <c:v>Beyoncé</c:v>
                </c:pt>
                <c:pt idx="1">
                  <c:v>Bruno Mars</c:v>
                </c:pt>
                <c:pt idx="2">
                  <c:v>Eminem</c:v>
                </c:pt>
                <c:pt idx="3">
                  <c:v>Kendrick Lamar</c:v>
                </c:pt>
              </c:strCache>
            </c:strRef>
          </c:cat>
          <c:val>
            <c:numRef>
              <c:f>pivot_top100!$E$31:$E$35</c:f>
              <c:numCache>
                <c:formatCode>General</c:formatCode>
                <c:ptCount val="4"/>
                <c:pt idx="0">
                  <c:v>32</c:v>
                </c:pt>
                <c:pt idx="1">
                  <c:v>15</c:v>
                </c:pt>
                <c:pt idx="2">
                  <c:v>15</c:v>
                </c:pt>
                <c:pt idx="3">
                  <c:v>17</c:v>
                </c:pt>
              </c:numCache>
            </c:numRef>
          </c:val>
          <c:extLst>
            <c:ext xmlns:c16="http://schemas.microsoft.com/office/drawing/2014/chart" uri="{C3380CC4-5D6E-409C-BE32-E72D297353CC}">
              <c16:uniqueId val="{00000000-BEA4-421B-926B-532C306C703A}"/>
            </c:ext>
          </c:extLst>
        </c:ser>
        <c:dLbls>
          <c:showLegendKey val="0"/>
          <c:showVal val="0"/>
          <c:showCatName val="0"/>
          <c:showSerName val="0"/>
          <c:showPercent val="0"/>
          <c:showBubbleSize val="0"/>
        </c:dLbls>
        <c:gapWidth val="219"/>
        <c:overlap val="-27"/>
        <c:axId val="942606968"/>
        <c:axId val="942609488"/>
      </c:barChart>
      <c:catAx>
        <c:axId val="94260696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2609488"/>
        <c:crosses val="autoZero"/>
        <c:auto val="1"/>
        <c:lblAlgn val="ctr"/>
        <c:lblOffset val="100"/>
        <c:noMultiLvlLbl val="0"/>
      </c:catAx>
      <c:valAx>
        <c:axId val="9426094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26069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اشهر فنانين</a:t>
            </a:r>
            <a:r>
              <a:rPr lang="ar-EG" baseline="0"/>
              <a:t> من حيث الجمهور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pivot_top100!$H$30</c:f>
              <c:strCache>
                <c:ptCount val="1"/>
                <c:pt idx="0">
                  <c:v>Total</c:v>
                </c:pt>
              </c:strCache>
            </c:strRef>
          </c:tx>
          <c:spPr>
            <a:ln w="28575" cap="rnd">
              <a:solidFill>
                <a:schemeClr val="accent1"/>
              </a:solidFill>
              <a:round/>
            </a:ln>
            <a:effectLst/>
          </c:spPr>
          <c:marker>
            <c:symbol val="none"/>
          </c:marker>
          <c:cat>
            <c:strRef>
              <c:f>pivot_top100!$G$31:$G$80</c:f>
              <c:strCache>
                <c:ptCount val="49"/>
                <c:pt idx="0">
                  <c:v>Ariana Grande</c:v>
                </c:pt>
                <c:pt idx="1">
                  <c:v>Bad Bunny</c:v>
                </c:pt>
                <c:pt idx="2">
                  <c:v>Benson Boone</c:v>
                </c:pt>
                <c:pt idx="3">
                  <c:v>Beyoncé</c:v>
                </c:pt>
                <c:pt idx="4">
                  <c:v>Billie Eilish</c:v>
                </c:pt>
                <c:pt idx="5">
                  <c:v>Bruno Mars</c:v>
                </c:pt>
                <c:pt idx="6">
                  <c:v>BTS</c:v>
                </c:pt>
                <c:pt idx="7">
                  <c:v>Chappell Roan</c:v>
                </c:pt>
                <c:pt idx="8">
                  <c:v>Chayanne</c:v>
                </c:pt>
                <c:pt idx="9">
                  <c:v>Coldplay</c:v>
                </c:pt>
                <c:pt idx="10">
                  <c:v>Djo</c:v>
                </c:pt>
                <c:pt idx="11">
                  <c:v>Doja Cat</c:v>
                </c:pt>
                <c:pt idx="12">
                  <c:v>Drake</c:v>
                </c:pt>
                <c:pt idx="13">
                  <c:v>Dua Lipa</c:v>
                </c:pt>
                <c:pt idx="14">
                  <c:v>Ed Sheeran</c:v>
                </c:pt>
                <c:pt idx="15">
                  <c:v>Eminem</c:v>
                </c:pt>
                <c:pt idx="16">
                  <c:v>Gracie Abrams</c:v>
                </c:pt>
                <c:pt idx="17">
                  <c:v>Harry Styles</c:v>
                </c:pt>
                <c:pt idx="18">
                  <c:v>Hozier</c:v>
                </c:pt>
                <c:pt idx="19">
                  <c:v>Ice Spice</c:v>
                </c:pt>
                <c:pt idx="20">
                  <c:v>Imagine Dragons</c:v>
                </c:pt>
                <c:pt idx="21">
                  <c:v>Jack Harlow</c:v>
                </c:pt>
                <c:pt idx="22">
                  <c:v>Jimin (BTS)</c:v>
                </c:pt>
                <c:pt idx="23">
                  <c:v>Justin Bieber</c:v>
                </c:pt>
                <c:pt idx="24">
                  <c:v>Kali Uchis</c:v>
                </c:pt>
                <c:pt idx="25">
                  <c:v>KAROL G</c:v>
                </c:pt>
                <c:pt idx="26">
                  <c:v>Kendrick Lamar</c:v>
                </c:pt>
                <c:pt idx="27">
                  <c:v>Lady Gaga</c:v>
                </c:pt>
                <c:pt idx="28">
                  <c:v>Lana Del Rey</c:v>
                </c:pt>
                <c:pt idx="29">
                  <c:v>Laufey</c:v>
                </c:pt>
                <c:pt idx="30">
                  <c:v>Miley Cyrus</c:v>
                </c:pt>
                <c:pt idx="31">
                  <c:v>Morgan Wallen</c:v>
                </c:pt>
                <c:pt idx="32">
                  <c:v>NewJeans</c:v>
                </c:pt>
                <c:pt idx="33">
                  <c:v>Noah Kahan</c:v>
                </c:pt>
                <c:pt idx="34">
                  <c:v>Olivia Rodrigo</c:v>
                </c:pt>
                <c:pt idx="35">
                  <c:v>Peso Pluma</c:v>
                </c:pt>
                <c:pt idx="36">
                  <c:v>Post Malone</c:v>
                </c:pt>
                <c:pt idx="37">
                  <c:v>Rema</c:v>
                </c:pt>
                <c:pt idx="38">
                  <c:v>ROSE</c:v>
                </c:pt>
                <c:pt idx="39">
                  <c:v>Sabrina Carpenter</c:v>
                </c:pt>
                <c:pt idx="40">
                  <c:v>Shaboozey</c:v>
                </c:pt>
                <c:pt idx="41">
                  <c:v>SZA</c:v>
                </c:pt>
                <c:pt idx="42">
                  <c:v>Tate McRae</c:v>
                </c:pt>
                <c:pt idx="43">
                  <c:v>Taylor Swift</c:v>
                </c:pt>
                <c:pt idx="44">
                  <c:v>Teddy Swims</c:v>
                </c:pt>
                <c:pt idx="45">
                  <c:v>The Weeknd</c:v>
                </c:pt>
                <c:pt idx="46">
                  <c:v>Tommy Richman</c:v>
                </c:pt>
                <c:pt idx="47">
                  <c:v>Tyla</c:v>
                </c:pt>
                <c:pt idx="48">
                  <c:v>Zach Bryan</c:v>
                </c:pt>
              </c:strCache>
            </c:strRef>
          </c:cat>
          <c:val>
            <c:numRef>
              <c:f>pivot_top100!$H$31:$H$80</c:f>
              <c:numCache>
                <c:formatCode>General</c:formatCode>
                <c:ptCount val="49"/>
                <c:pt idx="0">
                  <c:v>94</c:v>
                </c:pt>
                <c:pt idx="1">
                  <c:v>89</c:v>
                </c:pt>
                <c:pt idx="2">
                  <c:v>22</c:v>
                </c:pt>
                <c:pt idx="3">
                  <c:v>85</c:v>
                </c:pt>
                <c:pt idx="4">
                  <c:v>110</c:v>
                </c:pt>
                <c:pt idx="5">
                  <c:v>65</c:v>
                </c:pt>
                <c:pt idx="6">
                  <c:v>75</c:v>
                </c:pt>
                <c:pt idx="7">
                  <c:v>40</c:v>
                </c:pt>
                <c:pt idx="8">
                  <c:v>12</c:v>
                </c:pt>
                <c:pt idx="9">
                  <c:v>65</c:v>
                </c:pt>
                <c:pt idx="10">
                  <c:v>15</c:v>
                </c:pt>
                <c:pt idx="11">
                  <c:v>44</c:v>
                </c:pt>
                <c:pt idx="12">
                  <c:v>95</c:v>
                </c:pt>
                <c:pt idx="13">
                  <c:v>82</c:v>
                </c:pt>
                <c:pt idx="14">
                  <c:v>115</c:v>
                </c:pt>
                <c:pt idx="15">
                  <c:v>72</c:v>
                </c:pt>
                <c:pt idx="16">
                  <c:v>25</c:v>
                </c:pt>
                <c:pt idx="17">
                  <c:v>80</c:v>
                </c:pt>
                <c:pt idx="18">
                  <c:v>30</c:v>
                </c:pt>
                <c:pt idx="19">
                  <c:v>14</c:v>
                </c:pt>
                <c:pt idx="20">
                  <c:v>68</c:v>
                </c:pt>
                <c:pt idx="21">
                  <c:v>24</c:v>
                </c:pt>
                <c:pt idx="22">
                  <c:v>22</c:v>
                </c:pt>
                <c:pt idx="23">
                  <c:v>96</c:v>
                </c:pt>
                <c:pt idx="24">
                  <c:v>15</c:v>
                </c:pt>
                <c:pt idx="25">
                  <c:v>50</c:v>
                </c:pt>
                <c:pt idx="26">
                  <c:v>52</c:v>
                </c:pt>
                <c:pt idx="27">
                  <c:v>98</c:v>
                </c:pt>
                <c:pt idx="28">
                  <c:v>48</c:v>
                </c:pt>
                <c:pt idx="29">
                  <c:v>36</c:v>
                </c:pt>
                <c:pt idx="30">
                  <c:v>60</c:v>
                </c:pt>
                <c:pt idx="31">
                  <c:v>44</c:v>
                </c:pt>
                <c:pt idx="32">
                  <c:v>18</c:v>
                </c:pt>
                <c:pt idx="33">
                  <c:v>20</c:v>
                </c:pt>
                <c:pt idx="34">
                  <c:v>56</c:v>
                </c:pt>
                <c:pt idx="35">
                  <c:v>30</c:v>
                </c:pt>
                <c:pt idx="36">
                  <c:v>62</c:v>
                </c:pt>
                <c:pt idx="37">
                  <c:v>20</c:v>
                </c:pt>
                <c:pt idx="38">
                  <c:v>38</c:v>
                </c:pt>
                <c:pt idx="39">
                  <c:v>58</c:v>
                </c:pt>
                <c:pt idx="40">
                  <c:v>28</c:v>
                </c:pt>
                <c:pt idx="41">
                  <c:v>48</c:v>
                </c:pt>
                <c:pt idx="42">
                  <c:v>28</c:v>
                </c:pt>
                <c:pt idx="43">
                  <c:v>110</c:v>
                </c:pt>
                <c:pt idx="44">
                  <c:v>18</c:v>
                </c:pt>
                <c:pt idx="45">
                  <c:v>112</c:v>
                </c:pt>
                <c:pt idx="46">
                  <c:v>12</c:v>
                </c:pt>
                <c:pt idx="47">
                  <c:v>30</c:v>
                </c:pt>
                <c:pt idx="48">
                  <c:v>22</c:v>
                </c:pt>
              </c:numCache>
            </c:numRef>
          </c:val>
          <c:smooth val="0"/>
          <c:extLst>
            <c:ext xmlns:c16="http://schemas.microsoft.com/office/drawing/2014/chart" uri="{C3380CC4-5D6E-409C-BE32-E72D297353CC}">
              <c16:uniqueId val="{00000000-844C-4E6E-A1A9-D253ADC7D467}"/>
            </c:ext>
          </c:extLst>
        </c:ser>
        <c:dLbls>
          <c:showLegendKey val="0"/>
          <c:showVal val="0"/>
          <c:showCatName val="0"/>
          <c:showSerName val="0"/>
          <c:showPercent val="0"/>
          <c:showBubbleSize val="0"/>
        </c:dLbls>
        <c:smooth val="0"/>
        <c:axId val="525330104"/>
        <c:axId val="525325064"/>
      </c:lineChart>
      <c:catAx>
        <c:axId val="5253301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5325064"/>
        <c:crosses val="autoZero"/>
        <c:auto val="1"/>
        <c:lblAlgn val="ctr"/>
        <c:lblOffset val="100"/>
        <c:noMultiLvlLbl val="0"/>
      </c:catAx>
      <c:valAx>
        <c:axId val="5253250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5330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project.xlsx]pivot_top100!PivotTable8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اكتر بلد حاصله علي جوائز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pivot_top100!$L$30</c:f>
              <c:strCache>
                <c:ptCount val="1"/>
                <c:pt idx="0">
                  <c:v>Sum of grammy_wins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51-40B0-AD8A-BCB8EBB28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51-40B0-AD8A-BCB8EBB28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51-40B0-AD8A-BCB8EBB28B02}"/>
              </c:ext>
            </c:extLst>
          </c:dPt>
          <c:cat>
            <c:strRef>
              <c:f>pivot_top100!$K$31:$K$34</c:f>
              <c:strCache>
                <c:ptCount val="3"/>
                <c:pt idx="0">
                  <c:v>USA</c:v>
                </c:pt>
                <c:pt idx="1">
                  <c:v>UK</c:v>
                </c:pt>
                <c:pt idx="2">
                  <c:v>Canada</c:v>
                </c:pt>
              </c:strCache>
            </c:strRef>
          </c:cat>
          <c:val>
            <c:numRef>
              <c:f>pivot_top100!$L$31:$L$34</c:f>
              <c:numCache>
                <c:formatCode>General</c:formatCode>
                <c:ptCount val="3"/>
                <c:pt idx="0">
                  <c:v>133</c:v>
                </c:pt>
                <c:pt idx="1">
                  <c:v>13</c:v>
                </c:pt>
                <c:pt idx="2">
                  <c:v>10</c:v>
                </c:pt>
              </c:numCache>
            </c:numRef>
          </c:val>
          <c:extLst>
            <c:ext xmlns:c16="http://schemas.microsoft.com/office/drawing/2014/chart" uri="{C3380CC4-5D6E-409C-BE32-E72D297353CC}">
              <c16:uniqueId val="{00000006-2951-40B0-AD8A-BCB8EBB28B02}"/>
            </c:ext>
          </c:extLst>
        </c:ser>
        <c:ser>
          <c:idx val="1"/>
          <c:order val="1"/>
          <c:tx>
            <c:strRef>
              <c:f>pivot_top100!$M$30</c:f>
              <c:strCache>
                <c:ptCount val="1"/>
                <c:pt idx="0">
                  <c:v>Count of artist_name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951-40B0-AD8A-BCB8EBB28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951-40B0-AD8A-BCB8EBB28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951-40B0-AD8A-BCB8EBB28B02}"/>
              </c:ext>
            </c:extLst>
          </c:dPt>
          <c:cat>
            <c:strRef>
              <c:f>pivot_top100!$K$31:$K$34</c:f>
              <c:strCache>
                <c:ptCount val="3"/>
                <c:pt idx="0">
                  <c:v>USA</c:v>
                </c:pt>
                <c:pt idx="1">
                  <c:v>UK</c:v>
                </c:pt>
                <c:pt idx="2">
                  <c:v>Canada</c:v>
                </c:pt>
              </c:strCache>
            </c:strRef>
          </c:cat>
          <c:val>
            <c:numRef>
              <c:f>pivot_top100!$M$31:$M$34</c:f>
              <c:numCache>
                <c:formatCode>General</c:formatCode>
                <c:ptCount val="3"/>
                <c:pt idx="0">
                  <c:v>28</c:v>
                </c:pt>
                <c:pt idx="1">
                  <c:v>4</c:v>
                </c:pt>
                <c:pt idx="2">
                  <c:v>4</c:v>
                </c:pt>
              </c:numCache>
            </c:numRef>
          </c:val>
          <c:extLst>
            <c:ext xmlns:c16="http://schemas.microsoft.com/office/drawing/2014/chart" uri="{C3380CC4-5D6E-409C-BE32-E72D297353CC}">
              <c16:uniqueId val="{0000000D-2951-40B0-AD8A-BCB8EBB28B02}"/>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hyperlink" Target="#top_100!A1"/><Relationship Id="rId3" Type="http://schemas.openxmlformats.org/officeDocument/2006/relationships/image" Target="../media/image1.jpg"/><Relationship Id="rId7" Type="http://schemas.openxmlformats.org/officeDocument/2006/relationships/hyperlink" Target="https://www.iphonemod.net/spotify-rolling-out-sleep-timer-feature-for-ios.html" TargetMode="External"/><Relationship Id="rId12" Type="http://schemas.openxmlformats.org/officeDocument/2006/relationships/image" Target="../media/image7.png"/><Relationship Id="rId17" Type="http://schemas.openxmlformats.org/officeDocument/2006/relationships/hyperlink" Target="#pivot_top100!A1"/><Relationship Id="rId2" Type="http://schemas.openxmlformats.org/officeDocument/2006/relationships/hyperlink" Target="#Dashboard_top100!A1"/><Relationship Id="rId16" Type="http://schemas.openxmlformats.org/officeDocument/2006/relationships/hyperlink" Target="#'50&#1575;&#1594;&#1606;&#1610;&#1607;'!A1"/><Relationship Id="rId1" Type="http://schemas.openxmlformats.org/officeDocument/2006/relationships/hyperlink" Target="#Dashboard_50&#1601;&#1606;&#1575;&#1606;!A1"/><Relationship Id="rId6" Type="http://schemas.openxmlformats.org/officeDocument/2006/relationships/image" Target="../media/image2.jpg"/><Relationship Id="rId11" Type="http://schemas.openxmlformats.org/officeDocument/2006/relationships/image" Target="../media/image6.svg"/><Relationship Id="rId5" Type="http://schemas.openxmlformats.org/officeDocument/2006/relationships/hyperlink" Target="#'Dashdord_50&#1575;&#1594;&#1606;&#1610;&#1607; '!A1"/><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hyperlink" Target="#'50&#1601;&#1606;&#1575;&#1606; '!A1"/><Relationship Id="rId4" Type="http://schemas.openxmlformats.org/officeDocument/2006/relationships/hyperlink" Target="https://www.flickr.com/photos/laughingsquid/6595677465/" TargetMode="Externa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shdord_50&#1575;&#1594;&#1606;&#1610;&#1607; '!A1"/><Relationship Id="rId7" Type="http://schemas.openxmlformats.org/officeDocument/2006/relationships/chart" Target="../charts/chart3.xml"/><Relationship Id="rId2" Type="http://schemas.openxmlformats.org/officeDocument/2006/relationships/hyperlink" Target="#Dashboard_50&#1601;&#1606;&#1575;&#1606;!A1"/><Relationship Id="rId1" Type="http://schemas.openxmlformats.org/officeDocument/2006/relationships/hyperlink" Target="#Dashboard!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_top100!A1"/><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hyperlink" Target="#Dashboard_50&#1601;&#1606;&#1575;&#1606;!A1"/><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Dashdord_50&#1575;&#1594;&#1606;&#1610;&#1607; '!A1"/><Relationship Id="rId7" Type="http://schemas.openxmlformats.org/officeDocument/2006/relationships/chart" Target="../charts/chart12.xml"/><Relationship Id="rId2" Type="http://schemas.openxmlformats.org/officeDocument/2006/relationships/hyperlink" Target="#Dashboard_top100!A1"/><Relationship Id="rId1" Type="http://schemas.openxmlformats.org/officeDocument/2006/relationships/hyperlink" Target="#Dashboard!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hyperlink" Target="#pivot_top100!A1"/></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66675</xdr:rowOff>
    </xdr:from>
    <xdr:to>
      <xdr:col>1</xdr:col>
      <xdr:colOff>1390650</xdr:colOff>
      <xdr:row>4</xdr:row>
      <xdr:rowOff>9525</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F5488144-E7A5-55A6-83A3-0206782AF04E}"/>
            </a:ext>
          </a:extLst>
        </xdr:cNvPr>
        <xdr:cNvSpPr/>
      </xdr:nvSpPr>
      <xdr:spPr>
        <a:xfrm>
          <a:off x="38100" y="66675"/>
          <a:ext cx="280035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1800"/>
            <a:t>Dashboard</a:t>
          </a:r>
          <a:endParaRPr lang="ar-EG"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38100</xdr:rowOff>
    </xdr:from>
    <xdr:to>
      <xdr:col>18</xdr:col>
      <xdr:colOff>361950</xdr:colOff>
      <xdr:row>33</xdr:row>
      <xdr:rowOff>123825</xdr:rowOff>
    </xdr:to>
    <xdr:sp macro="" textlink="">
      <xdr:nvSpPr>
        <xdr:cNvPr id="2" name="Rectangle: Rounded Corners 1">
          <a:extLst>
            <a:ext uri="{FF2B5EF4-FFF2-40B4-BE49-F238E27FC236}">
              <a16:creationId xmlns:a16="http://schemas.microsoft.com/office/drawing/2014/main" id="{958C01A4-E77D-B198-A053-038A601E2C1B}"/>
            </a:ext>
          </a:extLst>
        </xdr:cNvPr>
        <xdr:cNvSpPr/>
      </xdr:nvSpPr>
      <xdr:spPr>
        <a:xfrm>
          <a:off x="57150" y="38100"/>
          <a:ext cx="12649200" cy="6057900"/>
        </a:xfrm>
        <a:prstGeom prst="roundRect">
          <a:avLst>
            <a:gd name="adj" fmla="val 73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180975</xdr:colOff>
      <xdr:row>15</xdr:row>
      <xdr:rowOff>104775</xdr:rowOff>
    </xdr:from>
    <xdr:to>
      <xdr:col>5</xdr:col>
      <xdr:colOff>247650</xdr:colOff>
      <xdr:row>20</xdr:row>
      <xdr:rowOff>161925</xdr:rowOff>
    </xdr:to>
    <xdr:sp macro="" textlink="">
      <xdr:nvSpPr>
        <xdr:cNvPr id="3" name="Rectangle: Diagonal Corners Rounded 2">
          <a:hlinkClick xmlns:r="http://schemas.openxmlformats.org/officeDocument/2006/relationships" r:id="rId1"/>
          <a:extLst>
            <a:ext uri="{FF2B5EF4-FFF2-40B4-BE49-F238E27FC236}">
              <a16:creationId xmlns:a16="http://schemas.microsoft.com/office/drawing/2014/main" id="{D079558C-BEB7-6628-BEBC-8C43D9CC12F8}"/>
            </a:ext>
          </a:extLst>
        </xdr:cNvPr>
        <xdr:cNvSpPr/>
      </xdr:nvSpPr>
      <xdr:spPr>
        <a:xfrm>
          <a:off x="866775" y="2819400"/>
          <a:ext cx="2809875" cy="962025"/>
        </a:xfrm>
        <a:prstGeom prst="round2DiagRect">
          <a:avLst>
            <a:gd name="adj1" fmla="val 50000"/>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1800"/>
            <a:t>Dashboard of 50 artists at the 2025 level</a:t>
          </a:r>
          <a:endParaRPr lang="ar-EG" sz="1800"/>
        </a:p>
      </xdr:txBody>
    </xdr:sp>
    <xdr:clientData/>
  </xdr:twoCellAnchor>
  <xdr:twoCellAnchor>
    <xdr:from>
      <xdr:col>1</xdr:col>
      <xdr:colOff>180975</xdr:colOff>
      <xdr:row>9</xdr:row>
      <xdr:rowOff>66675</xdr:rowOff>
    </xdr:from>
    <xdr:to>
      <xdr:col>5</xdr:col>
      <xdr:colOff>247650</xdr:colOff>
      <xdr:row>14</xdr:row>
      <xdr:rowOff>123825</xdr:rowOff>
    </xdr:to>
    <xdr:sp macro="" textlink="">
      <xdr:nvSpPr>
        <xdr:cNvPr id="4" name="Rectangle: Diagonal Corners Rounded 3">
          <a:hlinkClick xmlns:r="http://schemas.openxmlformats.org/officeDocument/2006/relationships" r:id="rId2"/>
          <a:extLst>
            <a:ext uri="{FF2B5EF4-FFF2-40B4-BE49-F238E27FC236}">
              <a16:creationId xmlns:a16="http://schemas.microsoft.com/office/drawing/2014/main" id="{F3FC9A93-AC47-C4A2-1344-E3C44CF23F72}"/>
            </a:ext>
          </a:extLst>
        </xdr:cNvPr>
        <xdr:cNvSpPr/>
      </xdr:nvSpPr>
      <xdr:spPr>
        <a:xfrm>
          <a:off x="866775" y="1695450"/>
          <a:ext cx="2809875" cy="962025"/>
        </a:xfrm>
        <a:prstGeom prst="round2DiagRect">
          <a:avLst>
            <a:gd name="adj1" fmla="val 50000"/>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1800"/>
            <a:t>Dashboard of the top 100 songs on the program</a:t>
          </a:r>
          <a:endParaRPr lang="ar-EG" sz="1800"/>
        </a:p>
      </xdr:txBody>
    </xdr:sp>
    <xdr:clientData/>
  </xdr:twoCellAnchor>
  <xdr:twoCellAnchor>
    <xdr:from>
      <xdr:col>0</xdr:col>
      <xdr:colOff>133350</xdr:colOff>
      <xdr:row>0</xdr:row>
      <xdr:rowOff>114300</xdr:rowOff>
    </xdr:from>
    <xdr:to>
      <xdr:col>4</xdr:col>
      <xdr:colOff>200025</xdr:colOff>
      <xdr:row>8</xdr:row>
      <xdr:rowOff>47625</xdr:rowOff>
    </xdr:to>
    <xdr:sp macro="" textlink="">
      <xdr:nvSpPr>
        <xdr:cNvPr id="5" name="Rectangle: Diagonal Corners Rounded 4">
          <a:extLst>
            <a:ext uri="{FF2B5EF4-FFF2-40B4-BE49-F238E27FC236}">
              <a16:creationId xmlns:a16="http://schemas.microsoft.com/office/drawing/2014/main" id="{BD992C4F-1D80-9391-F16F-2B895E6FCCD4}"/>
            </a:ext>
          </a:extLst>
        </xdr:cNvPr>
        <xdr:cNvSpPr/>
      </xdr:nvSpPr>
      <xdr:spPr>
        <a:xfrm>
          <a:off x="133350" y="114300"/>
          <a:ext cx="2809875" cy="1381125"/>
        </a:xfrm>
        <a:prstGeom prst="round2DiagRect">
          <a:avLst>
            <a:gd name="adj1" fmla="val 50000"/>
            <a:gd name="adj2" fmla="val 50000"/>
          </a:avLst>
        </a:prstGeom>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200025</xdr:colOff>
      <xdr:row>21</xdr:row>
      <xdr:rowOff>133350</xdr:rowOff>
    </xdr:from>
    <xdr:to>
      <xdr:col>5</xdr:col>
      <xdr:colOff>266700</xdr:colOff>
      <xdr:row>27</xdr:row>
      <xdr:rowOff>9525</xdr:rowOff>
    </xdr:to>
    <xdr:sp macro="" textlink="">
      <xdr:nvSpPr>
        <xdr:cNvPr id="6" name="Rectangle: Diagonal Corners Rounded 5">
          <a:hlinkClick xmlns:r="http://schemas.openxmlformats.org/officeDocument/2006/relationships" r:id="rId5"/>
          <a:extLst>
            <a:ext uri="{FF2B5EF4-FFF2-40B4-BE49-F238E27FC236}">
              <a16:creationId xmlns:a16="http://schemas.microsoft.com/office/drawing/2014/main" id="{8168A65E-A406-BFBD-FD0E-5CD285CF3E3E}"/>
            </a:ext>
          </a:extLst>
        </xdr:cNvPr>
        <xdr:cNvSpPr/>
      </xdr:nvSpPr>
      <xdr:spPr>
        <a:xfrm>
          <a:off x="885825" y="3933825"/>
          <a:ext cx="2809875" cy="962025"/>
        </a:xfrm>
        <a:prstGeom prst="round2DiagRect">
          <a:avLst>
            <a:gd name="adj1" fmla="val 0"/>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1800"/>
            <a:t>Dashboard with 50 songs at the 2025 level</a:t>
          </a:r>
          <a:endParaRPr lang="ar-EG" sz="1800"/>
        </a:p>
      </xdr:txBody>
    </xdr:sp>
    <xdr:clientData/>
  </xdr:twoCellAnchor>
  <xdr:twoCellAnchor>
    <xdr:from>
      <xdr:col>1</xdr:col>
      <xdr:colOff>190500</xdr:colOff>
      <xdr:row>27</xdr:row>
      <xdr:rowOff>171450</xdr:rowOff>
    </xdr:from>
    <xdr:to>
      <xdr:col>5</xdr:col>
      <xdr:colOff>257175</xdr:colOff>
      <xdr:row>33</xdr:row>
      <xdr:rowOff>47625</xdr:rowOff>
    </xdr:to>
    <xdr:sp macro="" textlink="">
      <xdr:nvSpPr>
        <xdr:cNvPr id="7" name="Rectangle: Diagonal Corners Rounded 6">
          <a:extLst>
            <a:ext uri="{FF2B5EF4-FFF2-40B4-BE49-F238E27FC236}">
              <a16:creationId xmlns:a16="http://schemas.microsoft.com/office/drawing/2014/main" id="{25A384BE-34D9-99F5-9536-9FF69C1185F2}"/>
            </a:ext>
          </a:extLst>
        </xdr:cNvPr>
        <xdr:cNvSpPr/>
      </xdr:nvSpPr>
      <xdr:spPr>
        <a:xfrm>
          <a:off x="876300" y="5057775"/>
          <a:ext cx="2809875" cy="962025"/>
        </a:xfrm>
        <a:prstGeom prst="round2DiagRect">
          <a:avLst>
            <a:gd name="adj1" fmla="val 0"/>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1800"/>
            <a:t>View data details</a:t>
          </a:r>
          <a:endParaRPr lang="ar-EG" sz="1800"/>
        </a:p>
      </xdr:txBody>
    </xdr:sp>
    <xdr:clientData/>
  </xdr:twoCellAnchor>
  <xdr:twoCellAnchor>
    <xdr:from>
      <xdr:col>4</xdr:col>
      <xdr:colOff>295275</xdr:colOff>
      <xdr:row>0</xdr:row>
      <xdr:rowOff>95250</xdr:rowOff>
    </xdr:from>
    <xdr:to>
      <xdr:col>18</xdr:col>
      <xdr:colOff>28575</xdr:colOff>
      <xdr:row>8</xdr:row>
      <xdr:rowOff>57150</xdr:rowOff>
    </xdr:to>
    <xdr:sp macro="" textlink="">
      <xdr:nvSpPr>
        <xdr:cNvPr id="8" name="Rectangle: Rounded Corners 7">
          <a:extLst>
            <a:ext uri="{FF2B5EF4-FFF2-40B4-BE49-F238E27FC236}">
              <a16:creationId xmlns:a16="http://schemas.microsoft.com/office/drawing/2014/main" id="{7387C381-AF60-4C9A-ACB2-DE1396472203}"/>
            </a:ext>
          </a:extLst>
        </xdr:cNvPr>
        <xdr:cNvSpPr/>
      </xdr:nvSpPr>
      <xdr:spPr>
        <a:xfrm>
          <a:off x="3038475" y="95250"/>
          <a:ext cx="9334500" cy="1409700"/>
        </a:xfrm>
        <a:prstGeom prst="roundRect">
          <a:avLst>
            <a:gd name="adj" fmla="val 5000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GB" sz="2400">
              <a:solidFill>
                <a:srgbClr val="FF0000"/>
              </a:solidFill>
            </a:rPr>
            <a:t>Data analysis for a group of artists and songs on an application</a:t>
          </a:r>
          <a:r>
            <a:rPr lang="ar-EG" sz="2400">
              <a:solidFill>
                <a:srgbClr val="FF0000"/>
              </a:solidFill>
            </a:rPr>
            <a:t> </a:t>
          </a:r>
          <a:r>
            <a:rPr lang="en-GB" sz="2400">
              <a:solidFill>
                <a:srgbClr val="FF0000"/>
              </a:solidFill>
            </a:rPr>
            <a:t>spoyify</a:t>
          </a:r>
          <a:endParaRPr lang="ar-EG" sz="2400">
            <a:solidFill>
              <a:srgbClr val="FF0000"/>
            </a:solidFill>
          </a:endParaRPr>
        </a:p>
      </xdr:txBody>
    </xdr:sp>
    <xdr:clientData/>
  </xdr:twoCellAnchor>
  <xdr:twoCellAnchor>
    <xdr:from>
      <xdr:col>5</xdr:col>
      <xdr:colOff>409574</xdr:colOff>
      <xdr:row>9</xdr:row>
      <xdr:rowOff>9525</xdr:rowOff>
    </xdr:from>
    <xdr:to>
      <xdr:col>18</xdr:col>
      <xdr:colOff>247649</xdr:colOff>
      <xdr:row>33</xdr:row>
      <xdr:rowOff>57149</xdr:rowOff>
    </xdr:to>
    <xdr:sp macro="" textlink="">
      <xdr:nvSpPr>
        <xdr:cNvPr id="9" name="Rectangle: Rounded Corners 8">
          <a:extLst>
            <a:ext uri="{FF2B5EF4-FFF2-40B4-BE49-F238E27FC236}">
              <a16:creationId xmlns:a16="http://schemas.microsoft.com/office/drawing/2014/main" id="{D9C802B5-7EA0-0840-F9DD-51D08BEC83BF}"/>
            </a:ext>
          </a:extLst>
        </xdr:cNvPr>
        <xdr:cNvSpPr/>
      </xdr:nvSpPr>
      <xdr:spPr>
        <a:xfrm>
          <a:off x="3838574" y="1638300"/>
          <a:ext cx="8753475" cy="4391024"/>
        </a:xfrm>
        <a:prstGeom prst="roundRect">
          <a:avLst>
            <a:gd name="adj" fmla="val 10241"/>
          </a:avLst>
        </a:prstGeom>
        <a:blipFill>
          <a:blip xmlns:r="http://schemas.openxmlformats.org/officeDocument/2006/relationships" r:embed="rId6">
            <a:extLst>
              <a:ext uri="{837473B0-CC2E-450A-ABE3-18F120FF3D39}">
                <a1611:picAttrSrcUrl xmlns:a1611="http://schemas.microsoft.com/office/drawing/2016/11/main" r:id="rId7"/>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19</xdr:col>
      <xdr:colOff>0</xdr:colOff>
      <xdr:row>13</xdr:row>
      <xdr:rowOff>0</xdr:rowOff>
    </xdr:from>
    <xdr:to>
      <xdr:col>20</xdr:col>
      <xdr:colOff>228600</xdr:colOff>
      <xdr:row>18</xdr:row>
      <xdr:rowOff>9525</xdr:rowOff>
    </xdr:to>
    <xdr:pic>
      <xdr:nvPicPr>
        <xdr:cNvPr id="11" name="Graphic 10" descr="Dance with solid fill">
          <a:extLst>
            <a:ext uri="{FF2B5EF4-FFF2-40B4-BE49-F238E27FC236}">
              <a16:creationId xmlns:a16="http://schemas.microsoft.com/office/drawing/2014/main" id="{567540AC-C469-4B14-DDCB-2DFE36C1957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30200" y="2352675"/>
          <a:ext cx="914400" cy="914400"/>
        </a:xfrm>
        <a:prstGeom prst="rect">
          <a:avLst/>
        </a:prstGeom>
      </xdr:spPr>
    </xdr:pic>
    <xdr:clientData/>
  </xdr:twoCellAnchor>
  <xdr:twoCellAnchor editAs="oneCell">
    <xdr:from>
      <xdr:col>19</xdr:col>
      <xdr:colOff>150000</xdr:colOff>
      <xdr:row>13</xdr:row>
      <xdr:rowOff>150000</xdr:rowOff>
    </xdr:from>
    <xdr:to>
      <xdr:col>20</xdr:col>
      <xdr:colOff>378600</xdr:colOff>
      <xdr:row>18</xdr:row>
      <xdr:rowOff>159525</xdr:rowOff>
    </xdr:to>
    <xdr:pic>
      <xdr:nvPicPr>
        <xdr:cNvPr id="13" name="Graphic 12" descr="Database with solid fill">
          <a:extLst>
            <a:ext uri="{FF2B5EF4-FFF2-40B4-BE49-F238E27FC236}">
              <a16:creationId xmlns:a16="http://schemas.microsoft.com/office/drawing/2014/main" id="{511838D4-2218-193D-E043-4FC814AE07F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180200" y="2502675"/>
          <a:ext cx="914400" cy="914400"/>
        </a:xfrm>
        <a:prstGeom prst="rect">
          <a:avLst/>
        </a:prstGeom>
      </xdr:spPr>
    </xdr:pic>
    <xdr:clientData/>
  </xdr:twoCellAnchor>
  <xdr:twoCellAnchor editAs="oneCell">
    <xdr:from>
      <xdr:col>19</xdr:col>
      <xdr:colOff>300000</xdr:colOff>
      <xdr:row>14</xdr:row>
      <xdr:rowOff>119025</xdr:rowOff>
    </xdr:from>
    <xdr:to>
      <xdr:col>20</xdr:col>
      <xdr:colOff>528600</xdr:colOff>
      <xdr:row>19</xdr:row>
      <xdr:rowOff>128550</xdr:rowOff>
    </xdr:to>
    <xdr:pic>
      <xdr:nvPicPr>
        <xdr:cNvPr id="15" name="Graphic 14" descr="Music notation with solid fill">
          <a:extLst>
            <a:ext uri="{FF2B5EF4-FFF2-40B4-BE49-F238E27FC236}">
              <a16:creationId xmlns:a16="http://schemas.microsoft.com/office/drawing/2014/main" id="{C441B1AD-2120-6E00-8B2D-F7F9554240D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330200" y="2652675"/>
          <a:ext cx="914400" cy="914400"/>
        </a:xfrm>
        <a:prstGeom prst="rect">
          <a:avLst/>
        </a:prstGeom>
      </xdr:spPr>
    </xdr:pic>
    <xdr:clientData/>
  </xdr:twoCellAnchor>
  <xdr:twoCellAnchor editAs="oneCell">
    <xdr:from>
      <xdr:col>19</xdr:col>
      <xdr:colOff>450000</xdr:colOff>
      <xdr:row>15</xdr:row>
      <xdr:rowOff>88050</xdr:rowOff>
    </xdr:from>
    <xdr:to>
      <xdr:col>20</xdr:col>
      <xdr:colOff>678600</xdr:colOff>
      <xdr:row>20</xdr:row>
      <xdr:rowOff>97575</xdr:rowOff>
    </xdr:to>
    <xdr:pic>
      <xdr:nvPicPr>
        <xdr:cNvPr id="17" name="Graphic 16" descr="Music notes with solid fill">
          <a:extLst>
            <a:ext uri="{FF2B5EF4-FFF2-40B4-BE49-F238E27FC236}">
              <a16:creationId xmlns:a16="http://schemas.microsoft.com/office/drawing/2014/main" id="{33D3AD9C-D74A-0DC2-A899-B3D5FF0F8A9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480200" y="2802675"/>
          <a:ext cx="914400" cy="914400"/>
        </a:xfrm>
        <a:prstGeom prst="rect">
          <a:avLst/>
        </a:prstGeom>
      </xdr:spPr>
    </xdr:pic>
    <xdr:clientData/>
  </xdr:twoCellAnchor>
  <xdr:twoCellAnchor>
    <xdr:from>
      <xdr:col>0</xdr:col>
      <xdr:colOff>171450</xdr:colOff>
      <xdr:row>15</xdr:row>
      <xdr:rowOff>133350</xdr:rowOff>
    </xdr:from>
    <xdr:to>
      <xdr:col>1</xdr:col>
      <xdr:colOff>104775</xdr:colOff>
      <xdr:row>20</xdr:row>
      <xdr:rowOff>171450</xdr:rowOff>
    </xdr:to>
    <xdr:sp macro="" textlink="">
      <xdr:nvSpPr>
        <xdr:cNvPr id="27" name="Rectangle: Top Corners Rounded 26">
          <a:extLst>
            <a:ext uri="{FF2B5EF4-FFF2-40B4-BE49-F238E27FC236}">
              <a16:creationId xmlns:a16="http://schemas.microsoft.com/office/drawing/2014/main" id="{BA0DE7AA-8ABA-5AFE-CEED-43087B4C541C}"/>
            </a:ext>
          </a:extLst>
        </xdr:cNvPr>
        <xdr:cNvSpPr/>
      </xdr:nvSpPr>
      <xdr:spPr>
        <a:xfrm>
          <a:off x="171450" y="2847975"/>
          <a:ext cx="619125" cy="942975"/>
        </a:xfrm>
        <a:prstGeom prst="round2SameRect">
          <a:avLst>
            <a:gd name="adj1" fmla="val 50000"/>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161925</xdr:colOff>
      <xdr:row>21</xdr:row>
      <xdr:rowOff>133350</xdr:rowOff>
    </xdr:from>
    <xdr:to>
      <xdr:col>1</xdr:col>
      <xdr:colOff>95250</xdr:colOff>
      <xdr:row>26</xdr:row>
      <xdr:rowOff>171450</xdr:rowOff>
    </xdr:to>
    <xdr:sp macro="" textlink="">
      <xdr:nvSpPr>
        <xdr:cNvPr id="28" name="Rectangle: Top Corners Rounded 27">
          <a:hlinkClick xmlns:r="http://schemas.openxmlformats.org/officeDocument/2006/relationships" r:id="rId16"/>
          <a:extLst>
            <a:ext uri="{FF2B5EF4-FFF2-40B4-BE49-F238E27FC236}">
              <a16:creationId xmlns:a16="http://schemas.microsoft.com/office/drawing/2014/main" id="{5D371D6A-0C2D-0BD3-F39D-62F52106510D}"/>
            </a:ext>
          </a:extLst>
        </xdr:cNvPr>
        <xdr:cNvSpPr/>
      </xdr:nvSpPr>
      <xdr:spPr>
        <a:xfrm>
          <a:off x="161925" y="3933825"/>
          <a:ext cx="619125" cy="942975"/>
        </a:xfrm>
        <a:prstGeom prst="round2SameRect">
          <a:avLst>
            <a:gd name="adj1" fmla="val 0"/>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180975</xdr:colOff>
      <xdr:row>9</xdr:row>
      <xdr:rowOff>85725</xdr:rowOff>
    </xdr:from>
    <xdr:to>
      <xdr:col>1</xdr:col>
      <xdr:colOff>114300</xdr:colOff>
      <xdr:row>14</xdr:row>
      <xdr:rowOff>123825</xdr:rowOff>
    </xdr:to>
    <xdr:sp macro="" textlink="">
      <xdr:nvSpPr>
        <xdr:cNvPr id="26" name="Rectangle: Top Corners Rounded 25">
          <a:extLst>
            <a:ext uri="{FF2B5EF4-FFF2-40B4-BE49-F238E27FC236}">
              <a16:creationId xmlns:a16="http://schemas.microsoft.com/office/drawing/2014/main" id="{2D44DDAA-F042-4F17-ECB8-19534DAD65BD}"/>
            </a:ext>
          </a:extLst>
        </xdr:cNvPr>
        <xdr:cNvSpPr/>
      </xdr:nvSpPr>
      <xdr:spPr>
        <a:xfrm>
          <a:off x="180975" y="1714500"/>
          <a:ext cx="619125" cy="942975"/>
        </a:xfrm>
        <a:prstGeom prst="round2SameRect">
          <a:avLst>
            <a:gd name="adj1" fmla="val 50000"/>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180975</xdr:colOff>
      <xdr:row>27</xdr:row>
      <xdr:rowOff>161925</xdr:rowOff>
    </xdr:from>
    <xdr:to>
      <xdr:col>1</xdr:col>
      <xdr:colOff>114300</xdr:colOff>
      <xdr:row>33</xdr:row>
      <xdr:rowOff>19050</xdr:rowOff>
    </xdr:to>
    <xdr:sp macro="" textlink="">
      <xdr:nvSpPr>
        <xdr:cNvPr id="29" name="Rectangle: Top Corners Rounded 28">
          <a:extLst>
            <a:ext uri="{FF2B5EF4-FFF2-40B4-BE49-F238E27FC236}">
              <a16:creationId xmlns:a16="http://schemas.microsoft.com/office/drawing/2014/main" id="{97E990C2-9534-B7E8-6F26-C6C5CC93D978}"/>
            </a:ext>
          </a:extLst>
        </xdr:cNvPr>
        <xdr:cNvSpPr/>
      </xdr:nvSpPr>
      <xdr:spPr>
        <a:xfrm>
          <a:off x="180975" y="5048250"/>
          <a:ext cx="619125" cy="942975"/>
        </a:xfrm>
        <a:prstGeom prst="round2SameRect">
          <a:avLst>
            <a:gd name="adj1" fmla="val 0"/>
            <a:gd name="adj2" fmla="val 5000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107100</xdr:colOff>
      <xdr:row>28</xdr:row>
      <xdr:rowOff>11850</xdr:rowOff>
    </xdr:from>
    <xdr:to>
      <xdr:col>1</xdr:col>
      <xdr:colOff>211875</xdr:colOff>
      <xdr:row>32</xdr:row>
      <xdr:rowOff>78525</xdr:rowOff>
    </xdr:to>
    <xdr:pic>
      <xdr:nvPicPr>
        <xdr:cNvPr id="25" name="Graphic 24" descr="Database with solid fill">
          <a:hlinkClick xmlns:r="http://schemas.openxmlformats.org/officeDocument/2006/relationships" r:id="rId17"/>
          <a:extLst>
            <a:ext uri="{FF2B5EF4-FFF2-40B4-BE49-F238E27FC236}">
              <a16:creationId xmlns:a16="http://schemas.microsoft.com/office/drawing/2014/main" id="{DB68A877-BB8B-BFC5-B4C0-3DFA29BC389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7100" y="5079150"/>
          <a:ext cx="790575" cy="790575"/>
        </a:xfrm>
        <a:prstGeom prst="rect">
          <a:avLst/>
        </a:prstGeom>
      </xdr:spPr>
    </xdr:pic>
    <xdr:clientData/>
  </xdr:twoCellAnchor>
  <xdr:twoCellAnchor editAs="oneCell">
    <xdr:from>
      <xdr:col>0</xdr:col>
      <xdr:colOff>52350</xdr:colOff>
      <xdr:row>21</xdr:row>
      <xdr:rowOff>147600</xdr:rowOff>
    </xdr:from>
    <xdr:to>
      <xdr:col>1</xdr:col>
      <xdr:colOff>157125</xdr:colOff>
      <xdr:row>26</xdr:row>
      <xdr:rowOff>33300</xdr:rowOff>
    </xdr:to>
    <xdr:pic>
      <xdr:nvPicPr>
        <xdr:cNvPr id="23" name="Graphic 22" descr="Music notes with solid fill">
          <a:extLst>
            <a:ext uri="{FF2B5EF4-FFF2-40B4-BE49-F238E27FC236}">
              <a16:creationId xmlns:a16="http://schemas.microsoft.com/office/drawing/2014/main" id="{2B2B003B-3D68-382D-5204-254C416710B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2350" y="3948075"/>
          <a:ext cx="790575" cy="790575"/>
        </a:xfrm>
        <a:prstGeom prst="rect">
          <a:avLst/>
        </a:prstGeom>
      </xdr:spPr>
    </xdr:pic>
    <xdr:clientData/>
  </xdr:twoCellAnchor>
  <xdr:twoCellAnchor editAs="oneCell">
    <xdr:from>
      <xdr:col>0</xdr:col>
      <xdr:colOff>200025</xdr:colOff>
      <xdr:row>10</xdr:row>
      <xdr:rowOff>47625</xdr:rowOff>
    </xdr:from>
    <xdr:to>
      <xdr:col>1</xdr:col>
      <xdr:colOff>123825</xdr:colOff>
      <xdr:row>14</xdr:row>
      <xdr:rowOff>114300</xdr:rowOff>
    </xdr:to>
    <xdr:pic>
      <xdr:nvPicPr>
        <xdr:cNvPr id="19" name="Graphic 18" descr="Dance with solid fill">
          <a:hlinkClick xmlns:r="http://schemas.openxmlformats.org/officeDocument/2006/relationships" r:id="rId18"/>
          <a:extLst>
            <a:ext uri="{FF2B5EF4-FFF2-40B4-BE49-F238E27FC236}">
              <a16:creationId xmlns:a16="http://schemas.microsoft.com/office/drawing/2014/main" id="{63FB2D0B-8604-7D6D-B957-FFD849940E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0025" y="1857375"/>
          <a:ext cx="609600" cy="790575"/>
        </a:xfrm>
        <a:prstGeom prst="rect">
          <a:avLst/>
        </a:prstGeom>
      </xdr:spPr>
    </xdr:pic>
    <xdr:clientData/>
  </xdr:twoCellAnchor>
  <xdr:twoCellAnchor editAs="oneCell">
    <xdr:from>
      <xdr:col>0</xdr:col>
      <xdr:colOff>73800</xdr:colOff>
      <xdr:row>16</xdr:row>
      <xdr:rowOff>54750</xdr:rowOff>
    </xdr:from>
    <xdr:to>
      <xdr:col>1</xdr:col>
      <xdr:colOff>178575</xdr:colOff>
      <xdr:row>20</xdr:row>
      <xdr:rowOff>121425</xdr:rowOff>
    </xdr:to>
    <xdr:pic>
      <xdr:nvPicPr>
        <xdr:cNvPr id="21" name="Graphic 20" descr="Music notation with solid fill">
          <a:hlinkClick xmlns:r="http://schemas.openxmlformats.org/officeDocument/2006/relationships" r:id="rId19"/>
          <a:extLst>
            <a:ext uri="{FF2B5EF4-FFF2-40B4-BE49-F238E27FC236}">
              <a16:creationId xmlns:a16="http://schemas.microsoft.com/office/drawing/2014/main" id="{AA86423C-89D1-4F67-374F-C70AE09DCC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5400000">
          <a:off x="73800" y="2950350"/>
          <a:ext cx="790575" cy="790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18</xdr:col>
      <xdr:colOff>390525</xdr:colOff>
      <xdr:row>33</xdr:row>
      <xdr:rowOff>161925</xdr:rowOff>
    </xdr:to>
    <xdr:sp macro="" textlink="">
      <xdr:nvSpPr>
        <xdr:cNvPr id="2" name="Rectangle: Rounded Corners 1">
          <a:extLst>
            <a:ext uri="{FF2B5EF4-FFF2-40B4-BE49-F238E27FC236}">
              <a16:creationId xmlns:a16="http://schemas.microsoft.com/office/drawing/2014/main" id="{2E85CEA7-4B20-4856-9ADA-DDEEEF981DF9}"/>
            </a:ext>
          </a:extLst>
        </xdr:cNvPr>
        <xdr:cNvSpPr/>
      </xdr:nvSpPr>
      <xdr:spPr>
        <a:xfrm>
          <a:off x="0" y="28575"/>
          <a:ext cx="12734925" cy="6105525"/>
        </a:xfrm>
        <a:prstGeom prst="roundRect">
          <a:avLst>
            <a:gd name="adj" fmla="val 215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85724</xdr:colOff>
      <xdr:row>0</xdr:row>
      <xdr:rowOff>28576</xdr:rowOff>
    </xdr:from>
    <xdr:to>
      <xdr:col>4</xdr:col>
      <xdr:colOff>133349</xdr:colOff>
      <xdr:row>3</xdr:row>
      <xdr:rowOff>28575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FB3E195-BB7B-4AE0-8103-BD12789DFB7C}"/>
            </a:ext>
          </a:extLst>
        </xdr:cNvPr>
        <xdr:cNvSpPr/>
      </xdr:nvSpPr>
      <xdr:spPr>
        <a:xfrm>
          <a:off x="85724" y="2857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Basic Dashboard</a:t>
          </a:r>
          <a:endParaRPr lang="ar-EG" sz="1500"/>
        </a:p>
      </xdr:txBody>
    </xdr:sp>
    <xdr:clientData/>
  </xdr:twoCellAnchor>
  <xdr:twoCellAnchor>
    <xdr:from>
      <xdr:col>0</xdr:col>
      <xdr:colOff>85724</xdr:colOff>
      <xdr:row>3</xdr:row>
      <xdr:rowOff>76201</xdr:rowOff>
    </xdr:from>
    <xdr:to>
      <xdr:col>4</xdr:col>
      <xdr:colOff>133349</xdr:colOff>
      <xdr:row>6</xdr:row>
      <xdr:rowOff>76200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75F6FB6-5DC5-412A-99B9-10EB3D8EA5A3}"/>
            </a:ext>
          </a:extLst>
        </xdr:cNvPr>
        <xdr:cNvSpPr/>
      </xdr:nvSpPr>
      <xdr:spPr>
        <a:xfrm>
          <a:off x="85724" y="61912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Dashboard of 50 artists at the 2025 level</a:t>
          </a:r>
          <a:endParaRPr lang="ar-EG" sz="1500">
            <a:effectLst/>
          </a:endParaRPr>
        </a:p>
      </xdr:txBody>
    </xdr:sp>
    <xdr:clientData/>
  </xdr:twoCellAnchor>
  <xdr:twoCellAnchor>
    <xdr:from>
      <xdr:col>0</xdr:col>
      <xdr:colOff>85724</xdr:colOff>
      <xdr:row>6</xdr:row>
      <xdr:rowOff>123826</xdr:rowOff>
    </xdr:from>
    <xdr:to>
      <xdr:col>4</xdr:col>
      <xdr:colOff>133349</xdr:colOff>
      <xdr:row>9</xdr:row>
      <xdr:rowOff>123825</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97655C91-496A-41B1-9014-9C6D99EC1765}"/>
            </a:ext>
          </a:extLst>
        </xdr:cNvPr>
        <xdr:cNvSpPr/>
      </xdr:nvSpPr>
      <xdr:spPr>
        <a:xfrm>
          <a:off x="85724" y="120967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400">
              <a:solidFill>
                <a:schemeClr val="lt1"/>
              </a:solidFill>
              <a:effectLst/>
              <a:latin typeface="+mn-lt"/>
              <a:ea typeface="+mn-ea"/>
              <a:cs typeface="+mn-cs"/>
            </a:rPr>
            <a:t>Dashboard of 50 artists at the 2025 level</a:t>
          </a:r>
          <a:endParaRPr lang="ar-EG" sz="1400">
            <a:effectLst/>
          </a:endParaRPr>
        </a:p>
      </xdr:txBody>
    </xdr:sp>
    <xdr:clientData/>
  </xdr:twoCellAnchor>
  <xdr:twoCellAnchor>
    <xdr:from>
      <xdr:col>0</xdr:col>
      <xdr:colOff>85724</xdr:colOff>
      <xdr:row>10</xdr:row>
      <xdr:rowOff>1</xdr:rowOff>
    </xdr:from>
    <xdr:to>
      <xdr:col>4</xdr:col>
      <xdr:colOff>133349</xdr:colOff>
      <xdr:row>13</xdr:row>
      <xdr:rowOff>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8C801482-EE82-42FE-92B7-D00279BA595C}"/>
            </a:ext>
          </a:extLst>
        </xdr:cNvPr>
        <xdr:cNvSpPr/>
      </xdr:nvSpPr>
      <xdr:spPr>
        <a:xfrm>
          <a:off x="85724" y="1809751"/>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View data details</a:t>
          </a:r>
          <a:endParaRPr lang="ar-EG" sz="1500">
            <a:effectLst/>
          </a:endParaRPr>
        </a:p>
      </xdr:txBody>
    </xdr:sp>
    <xdr:clientData/>
  </xdr:twoCellAnchor>
  <xdr:twoCellAnchor>
    <xdr:from>
      <xdr:col>4</xdr:col>
      <xdr:colOff>209550</xdr:colOff>
      <xdr:row>0</xdr:row>
      <xdr:rowOff>0</xdr:rowOff>
    </xdr:from>
    <xdr:to>
      <xdr:col>7</xdr:col>
      <xdr:colOff>190500</xdr:colOff>
      <xdr:row>6</xdr:row>
      <xdr:rowOff>28575</xdr:rowOff>
    </xdr:to>
    <xdr:sp macro="" textlink="">
      <xdr:nvSpPr>
        <xdr:cNvPr id="7" name="Rectangle: Top Corners Rounded 6">
          <a:extLst>
            <a:ext uri="{FF2B5EF4-FFF2-40B4-BE49-F238E27FC236}">
              <a16:creationId xmlns:a16="http://schemas.microsoft.com/office/drawing/2014/main" id="{2D2BCBEB-375D-6344-6B8F-D6A290D05954}"/>
            </a:ext>
          </a:extLst>
        </xdr:cNvPr>
        <xdr:cNvSpPr/>
      </xdr:nvSpPr>
      <xdr:spPr>
        <a:xfrm>
          <a:off x="2952750" y="0"/>
          <a:ext cx="2038350" cy="1114425"/>
        </a:xfrm>
        <a:prstGeom prst="round2Same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Total 2025 Streams</a:t>
          </a:r>
          <a:endParaRPr lang="ar-EG" sz="1500"/>
        </a:p>
        <a:p>
          <a:pPr algn="ctr"/>
          <a:r>
            <a:rPr lang="ar-EG" sz="1500" b="0" i="0" u="none" strike="noStrike">
              <a:solidFill>
                <a:schemeClr val="lt1"/>
              </a:solidFill>
              <a:effectLst/>
              <a:latin typeface="+mn-lt"/>
              <a:ea typeface="+mn-ea"/>
              <a:cs typeface="+mn-cs"/>
            </a:rPr>
            <a:t>46.46999997</a:t>
          </a:r>
          <a:r>
            <a:rPr lang="ar-EG" sz="1500"/>
            <a:t> </a:t>
          </a:r>
        </a:p>
      </xdr:txBody>
    </xdr:sp>
    <xdr:clientData/>
  </xdr:twoCellAnchor>
  <xdr:twoCellAnchor>
    <xdr:from>
      <xdr:col>7</xdr:col>
      <xdr:colOff>657225</xdr:colOff>
      <xdr:row>0</xdr:row>
      <xdr:rowOff>0</xdr:rowOff>
    </xdr:from>
    <xdr:to>
      <xdr:col>10</xdr:col>
      <xdr:colOff>638175</xdr:colOff>
      <xdr:row>6</xdr:row>
      <xdr:rowOff>28575</xdr:rowOff>
    </xdr:to>
    <xdr:sp macro="" textlink="">
      <xdr:nvSpPr>
        <xdr:cNvPr id="8" name="Rectangle: Top Corners Rounded 7">
          <a:extLst>
            <a:ext uri="{FF2B5EF4-FFF2-40B4-BE49-F238E27FC236}">
              <a16:creationId xmlns:a16="http://schemas.microsoft.com/office/drawing/2014/main" id="{674B4CE5-F671-A0BD-8A54-5347288D468A}"/>
            </a:ext>
          </a:extLst>
        </xdr:cNvPr>
        <xdr:cNvSpPr/>
      </xdr:nvSpPr>
      <xdr:spPr>
        <a:xfrm>
          <a:off x="5457825" y="0"/>
          <a:ext cx="2038350" cy="1114425"/>
        </a:xfrm>
        <a:prstGeom prst="round2Same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Average Song Duration</a:t>
          </a:r>
          <a:endParaRPr lang="ar-EG" sz="1500"/>
        </a:p>
        <a:p>
          <a:pPr algn="ctr"/>
          <a:r>
            <a:rPr lang="ar-EG" sz="1500" b="0" i="0" u="none" strike="noStrike">
              <a:solidFill>
                <a:schemeClr val="lt1"/>
              </a:solidFill>
              <a:effectLst/>
              <a:latin typeface="+mn-lt"/>
              <a:ea typeface="+mn-ea"/>
              <a:cs typeface="+mn-cs"/>
            </a:rPr>
            <a:t>3.4236</a:t>
          </a:r>
          <a:r>
            <a:rPr lang="ar-EG" sz="1500"/>
            <a:t> </a:t>
          </a:r>
        </a:p>
      </xdr:txBody>
    </xdr:sp>
    <xdr:clientData/>
  </xdr:twoCellAnchor>
  <xdr:twoCellAnchor>
    <xdr:from>
      <xdr:col>11</xdr:col>
      <xdr:colOff>504825</xdr:colOff>
      <xdr:row>0</xdr:row>
      <xdr:rowOff>0</xdr:rowOff>
    </xdr:from>
    <xdr:to>
      <xdr:col>14</xdr:col>
      <xdr:colOff>485775</xdr:colOff>
      <xdr:row>6</xdr:row>
      <xdr:rowOff>28575</xdr:rowOff>
    </xdr:to>
    <xdr:sp macro="" textlink="">
      <xdr:nvSpPr>
        <xdr:cNvPr id="9" name="Rectangle: Top Corners Rounded 8">
          <a:extLst>
            <a:ext uri="{FF2B5EF4-FFF2-40B4-BE49-F238E27FC236}">
              <a16:creationId xmlns:a16="http://schemas.microsoft.com/office/drawing/2014/main" id="{14956A24-315E-9956-8BBD-9487A3FC2387}"/>
            </a:ext>
          </a:extLst>
        </xdr:cNvPr>
        <xdr:cNvSpPr/>
      </xdr:nvSpPr>
      <xdr:spPr>
        <a:xfrm>
          <a:off x="8048625" y="0"/>
          <a:ext cx="2038350" cy="1114425"/>
        </a:xfrm>
        <a:prstGeom prst="round2Same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Explicit Content Count</a:t>
          </a:r>
          <a:endParaRPr lang="ar-EG" sz="1500"/>
        </a:p>
        <a:p>
          <a:pPr algn="ctr"/>
          <a:r>
            <a:rPr lang="ar-EG" sz="1500" b="0" i="0" u="none" strike="noStrike">
              <a:solidFill>
                <a:schemeClr val="lt1"/>
              </a:solidFill>
              <a:effectLst/>
              <a:latin typeface="+mn-lt"/>
              <a:ea typeface="+mn-ea"/>
              <a:cs typeface="+mn-cs"/>
            </a:rPr>
            <a:t>7</a:t>
          </a:r>
          <a:r>
            <a:rPr lang="ar-EG" sz="1500"/>
            <a:t> </a:t>
          </a:r>
        </a:p>
      </xdr:txBody>
    </xdr:sp>
    <xdr:clientData/>
  </xdr:twoCellAnchor>
  <xdr:twoCellAnchor>
    <xdr:from>
      <xdr:col>15</xdr:col>
      <xdr:colOff>219075</xdr:colOff>
      <xdr:row>0</xdr:row>
      <xdr:rowOff>0</xdr:rowOff>
    </xdr:from>
    <xdr:to>
      <xdr:col>18</xdr:col>
      <xdr:colOff>200025</xdr:colOff>
      <xdr:row>6</xdr:row>
      <xdr:rowOff>28575</xdr:rowOff>
    </xdr:to>
    <xdr:sp macro="" textlink="">
      <xdr:nvSpPr>
        <xdr:cNvPr id="10" name="Rectangle: Top Corners Rounded 9">
          <a:extLst>
            <a:ext uri="{FF2B5EF4-FFF2-40B4-BE49-F238E27FC236}">
              <a16:creationId xmlns:a16="http://schemas.microsoft.com/office/drawing/2014/main" id="{FBC3B46A-045D-7F95-01AB-1F7ED6435F27}"/>
            </a:ext>
          </a:extLst>
        </xdr:cNvPr>
        <xdr:cNvSpPr/>
      </xdr:nvSpPr>
      <xdr:spPr>
        <a:xfrm>
          <a:off x="10506075" y="0"/>
          <a:ext cx="2038350" cy="1114425"/>
        </a:xfrm>
        <a:prstGeom prst="round2Same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Average Peak Position</a:t>
          </a:r>
          <a:endParaRPr lang="ar-EG" sz="1500"/>
        </a:p>
        <a:p>
          <a:pPr algn="ctr"/>
          <a:r>
            <a:rPr lang="ar-EG" sz="1500" b="0" i="0" u="none" strike="noStrike">
              <a:solidFill>
                <a:schemeClr val="lt1"/>
              </a:solidFill>
              <a:effectLst/>
              <a:latin typeface="+mn-lt"/>
              <a:ea typeface="+mn-ea"/>
              <a:cs typeface="+mn-cs"/>
            </a:rPr>
            <a:t>1.96</a:t>
          </a:r>
          <a:r>
            <a:rPr lang="ar-EG" sz="1500"/>
            <a:t> </a:t>
          </a:r>
        </a:p>
      </xdr:txBody>
    </xdr:sp>
    <xdr:clientData/>
  </xdr:twoCellAnchor>
  <xdr:twoCellAnchor>
    <xdr:from>
      <xdr:col>4</xdr:col>
      <xdr:colOff>190499</xdr:colOff>
      <xdr:row>6</xdr:row>
      <xdr:rowOff>85725</xdr:rowOff>
    </xdr:from>
    <xdr:to>
      <xdr:col>11</xdr:col>
      <xdr:colOff>447674</xdr:colOff>
      <xdr:row>21</xdr:row>
      <xdr:rowOff>114300</xdr:rowOff>
    </xdr:to>
    <xdr:graphicFrame macro="">
      <xdr:nvGraphicFramePr>
        <xdr:cNvPr id="11" name="Chart 10">
          <a:extLst>
            <a:ext uri="{FF2B5EF4-FFF2-40B4-BE49-F238E27FC236}">
              <a16:creationId xmlns:a16="http://schemas.microsoft.com/office/drawing/2014/main" id="{F5870D53-3C45-4B38-B6CF-B3E1AEF0A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647700</xdr:colOff>
      <xdr:row>21</xdr:row>
      <xdr:rowOff>142875</xdr:rowOff>
    </xdr:from>
    <xdr:to>
      <xdr:col>13</xdr:col>
      <xdr:colOff>400050</xdr:colOff>
      <xdr:row>33</xdr:row>
      <xdr:rowOff>142875</xdr:rowOff>
    </xdr:to>
    <xdr:graphicFrame macro="">
      <xdr:nvGraphicFramePr>
        <xdr:cNvPr id="12" name="Chart 11">
          <a:extLst>
            <a:ext uri="{FF2B5EF4-FFF2-40B4-BE49-F238E27FC236}">
              <a16:creationId xmlns:a16="http://schemas.microsoft.com/office/drawing/2014/main" id="{E4B5755A-CD95-4CE6-851E-AE89EADB5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185737</xdr:colOff>
      <xdr:row>21</xdr:row>
      <xdr:rowOff>133350</xdr:rowOff>
    </xdr:from>
    <xdr:to>
      <xdr:col>8</xdr:col>
      <xdr:colOff>619125</xdr:colOff>
      <xdr:row>33</xdr:row>
      <xdr:rowOff>133350</xdr:rowOff>
    </xdr:to>
    <xdr:graphicFrame macro="">
      <xdr:nvGraphicFramePr>
        <xdr:cNvPr id="13" name="Chart 12">
          <a:extLst>
            <a:ext uri="{FF2B5EF4-FFF2-40B4-BE49-F238E27FC236}">
              <a16:creationId xmlns:a16="http://schemas.microsoft.com/office/drawing/2014/main" id="{D10A3624-9753-4EA8-8857-282E06D68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461962</xdr:colOff>
      <xdr:row>21</xdr:row>
      <xdr:rowOff>133350</xdr:rowOff>
    </xdr:from>
    <xdr:to>
      <xdr:col>18</xdr:col>
      <xdr:colOff>285750</xdr:colOff>
      <xdr:row>33</xdr:row>
      <xdr:rowOff>152400</xdr:rowOff>
    </xdr:to>
    <xdr:graphicFrame macro="">
      <xdr:nvGraphicFramePr>
        <xdr:cNvPr id="14" name="Chart 13">
          <a:extLst>
            <a:ext uri="{FF2B5EF4-FFF2-40B4-BE49-F238E27FC236}">
              <a16:creationId xmlns:a16="http://schemas.microsoft.com/office/drawing/2014/main" id="{AFFD2A1D-AE3E-47CC-AF38-AD6EBBB7D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13</xdr:row>
      <xdr:rowOff>28575</xdr:rowOff>
    </xdr:from>
    <xdr:to>
      <xdr:col>4</xdr:col>
      <xdr:colOff>104774</xdr:colOff>
      <xdr:row>24</xdr:row>
      <xdr:rowOff>161925</xdr:rowOff>
    </xdr:to>
    <mc:AlternateContent xmlns:mc="http://schemas.openxmlformats.org/markup-compatibility/2006">
      <mc:Choice xmlns:a14="http://schemas.microsoft.com/office/drawing/2010/main" Requires="a14">
        <xdr:graphicFrame macro="">
          <xdr:nvGraphicFramePr>
            <xdr:cNvPr id="15" name="primary_genre 1">
              <a:extLst>
                <a:ext uri="{FF2B5EF4-FFF2-40B4-BE49-F238E27FC236}">
                  <a16:creationId xmlns:a16="http://schemas.microsoft.com/office/drawing/2014/main" id="{AE3BF1BF-375D-BF6B-4761-2ED9DC78B3AB}"/>
                </a:ext>
              </a:extLst>
            </xdr:cNvPr>
            <xdr:cNvGraphicFramePr/>
          </xdr:nvGraphicFramePr>
          <xdr:xfrm>
            <a:off x="0" y="0"/>
            <a:ext cx="0" cy="0"/>
          </xdr:xfrm>
          <a:graphic>
            <a:graphicData uri="http://schemas.microsoft.com/office/drawing/2010/slicer">
              <sle:slicer xmlns:sle="http://schemas.microsoft.com/office/drawing/2010/slicer" name="primary_genre 1"/>
            </a:graphicData>
          </a:graphic>
        </xdr:graphicFrame>
      </mc:Choice>
      <mc:Fallback>
        <xdr:sp macro="" textlink="">
          <xdr:nvSpPr>
            <xdr:cNvPr id="0" name=""/>
            <xdr:cNvSpPr>
              <a:spLocks noTextEdit="1"/>
            </xdr:cNvSpPr>
          </xdr:nvSpPr>
          <xdr:spPr>
            <a:xfrm>
              <a:off x="0" y="2381250"/>
              <a:ext cx="2847974" cy="21240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28575</xdr:rowOff>
    </xdr:from>
    <xdr:to>
      <xdr:col>1</xdr:col>
      <xdr:colOff>495300</xdr:colOff>
      <xdr:row>32</xdr:row>
      <xdr:rowOff>142875</xdr:rowOff>
    </xdr:to>
    <mc:AlternateContent xmlns:mc="http://schemas.openxmlformats.org/markup-compatibility/2006">
      <mc:Choice xmlns:a14="http://schemas.microsoft.com/office/drawing/2010/main" Requires="a14">
        <xdr:graphicFrame macro="">
          <xdr:nvGraphicFramePr>
            <xdr:cNvPr id="16" name="explicit">
              <a:extLst>
                <a:ext uri="{FF2B5EF4-FFF2-40B4-BE49-F238E27FC236}">
                  <a16:creationId xmlns:a16="http://schemas.microsoft.com/office/drawing/2014/main" id="{F88E04D5-F340-2AAF-4F96-C61BDAB621F3}"/>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dr:sp macro="" textlink="">
          <xdr:nvSpPr>
            <xdr:cNvPr id="0" name=""/>
            <xdr:cNvSpPr>
              <a:spLocks noTextEdit="1"/>
            </xdr:cNvSpPr>
          </xdr:nvSpPr>
          <xdr:spPr>
            <a:xfrm>
              <a:off x="0" y="4552950"/>
              <a:ext cx="1181100" cy="1381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523875</xdr:colOff>
      <xdr:row>25</xdr:row>
      <xdr:rowOff>19050</xdr:rowOff>
    </xdr:from>
    <xdr:to>
      <xdr:col>4</xdr:col>
      <xdr:colOff>104775</xdr:colOff>
      <xdr:row>32</xdr:row>
      <xdr:rowOff>133350</xdr:rowOff>
    </xdr:to>
    <mc:AlternateContent xmlns:mc="http://schemas.openxmlformats.org/markup-compatibility/2006">
      <mc:Choice xmlns:a14="http://schemas.microsoft.com/office/drawing/2010/main" Requires="a14">
        <xdr:graphicFrame macro="">
          <xdr:nvGraphicFramePr>
            <xdr:cNvPr id="17" name="chart_performance_level">
              <a:extLst>
                <a:ext uri="{FF2B5EF4-FFF2-40B4-BE49-F238E27FC236}">
                  <a16:creationId xmlns:a16="http://schemas.microsoft.com/office/drawing/2014/main" id="{E6F32FFC-3886-72B1-E94E-BF5410EB55C1}"/>
                </a:ext>
              </a:extLst>
            </xdr:cNvPr>
            <xdr:cNvGraphicFramePr/>
          </xdr:nvGraphicFramePr>
          <xdr:xfrm>
            <a:off x="0" y="0"/>
            <a:ext cx="0" cy="0"/>
          </xdr:xfrm>
          <a:graphic>
            <a:graphicData uri="http://schemas.microsoft.com/office/drawing/2010/slicer">
              <sle:slicer xmlns:sle="http://schemas.microsoft.com/office/drawing/2010/slicer" name="chart_performance_level"/>
            </a:graphicData>
          </a:graphic>
        </xdr:graphicFrame>
      </mc:Choice>
      <mc:Fallback>
        <xdr:sp macro="" textlink="">
          <xdr:nvSpPr>
            <xdr:cNvPr id="0" name=""/>
            <xdr:cNvSpPr>
              <a:spLocks noTextEdit="1"/>
            </xdr:cNvSpPr>
          </xdr:nvSpPr>
          <xdr:spPr>
            <a:xfrm>
              <a:off x="1209675" y="4543425"/>
              <a:ext cx="1638300" cy="1381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514350</xdr:colOff>
      <xdr:row>6</xdr:row>
      <xdr:rowOff>76200</xdr:rowOff>
    </xdr:from>
    <xdr:to>
      <xdr:col>18</xdr:col>
      <xdr:colOff>285750</xdr:colOff>
      <xdr:row>21</xdr:row>
      <xdr:rowOff>104775</xdr:rowOff>
    </xdr:to>
    <xdr:graphicFrame macro="">
      <xdr:nvGraphicFramePr>
        <xdr:cNvPr id="18" name="Chart 17">
          <a:extLst>
            <a:ext uri="{FF2B5EF4-FFF2-40B4-BE49-F238E27FC236}">
              <a16:creationId xmlns:a16="http://schemas.microsoft.com/office/drawing/2014/main" id="{4E9585F8-180F-474D-9A76-1B1ADE447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0</xdr:row>
      <xdr:rowOff>95250</xdr:rowOff>
    </xdr:from>
    <xdr:to>
      <xdr:col>18</xdr:col>
      <xdr:colOff>419100</xdr:colOff>
      <xdr:row>34</xdr:row>
      <xdr:rowOff>47625</xdr:rowOff>
    </xdr:to>
    <xdr:sp macro="" textlink="">
      <xdr:nvSpPr>
        <xdr:cNvPr id="2" name="Rectangle: Rounded Corners 1">
          <a:extLst>
            <a:ext uri="{FF2B5EF4-FFF2-40B4-BE49-F238E27FC236}">
              <a16:creationId xmlns:a16="http://schemas.microsoft.com/office/drawing/2014/main" id="{59D3AB81-D8C0-7807-2B9F-957349449A2E}"/>
            </a:ext>
          </a:extLst>
        </xdr:cNvPr>
        <xdr:cNvSpPr/>
      </xdr:nvSpPr>
      <xdr:spPr>
        <a:xfrm>
          <a:off x="28575" y="95250"/>
          <a:ext cx="12734925" cy="6105525"/>
        </a:xfrm>
        <a:prstGeom prst="roundRect">
          <a:avLst>
            <a:gd name="adj" fmla="val 215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285750</xdr:colOff>
      <xdr:row>6</xdr:row>
      <xdr:rowOff>19050</xdr:rowOff>
    </xdr:from>
    <xdr:to>
      <xdr:col>18</xdr:col>
      <xdr:colOff>371475</xdr:colOff>
      <xdr:row>21</xdr:row>
      <xdr:rowOff>0</xdr:rowOff>
    </xdr:to>
    <xdr:graphicFrame macro="">
      <xdr:nvGraphicFramePr>
        <xdr:cNvPr id="3" name="Chart 2">
          <a:extLst>
            <a:ext uri="{FF2B5EF4-FFF2-40B4-BE49-F238E27FC236}">
              <a16:creationId xmlns:a16="http://schemas.microsoft.com/office/drawing/2014/main" id="{2F3CF3E8-7018-47EC-9622-53CD04F2F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21</xdr:row>
      <xdr:rowOff>66675</xdr:rowOff>
    </xdr:from>
    <xdr:to>
      <xdr:col>18</xdr:col>
      <xdr:colOff>404812</xdr:colOff>
      <xdr:row>33</xdr:row>
      <xdr:rowOff>142875</xdr:rowOff>
    </xdr:to>
    <xdr:graphicFrame macro="">
      <xdr:nvGraphicFramePr>
        <xdr:cNvPr id="4" name="Chart 3">
          <a:extLst>
            <a:ext uri="{FF2B5EF4-FFF2-40B4-BE49-F238E27FC236}">
              <a16:creationId xmlns:a16="http://schemas.microsoft.com/office/drawing/2014/main" id="{A4250837-4617-4B07-9D83-773469923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20</xdr:row>
      <xdr:rowOff>85725</xdr:rowOff>
    </xdr:from>
    <xdr:to>
      <xdr:col>11</xdr:col>
      <xdr:colOff>200025</xdr:colOff>
      <xdr:row>33</xdr:row>
      <xdr:rowOff>161925</xdr:rowOff>
    </xdr:to>
    <xdr:graphicFrame macro="">
      <xdr:nvGraphicFramePr>
        <xdr:cNvPr id="5" name="Chart 4">
          <a:extLst>
            <a:ext uri="{FF2B5EF4-FFF2-40B4-BE49-F238E27FC236}">
              <a16:creationId xmlns:a16="http://schemas.microsoft.com/office/drawing/2014/main" id="{4906C764-FF87-4A5B-8BAE-688E5F0D5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247649</xdr:colOff>
      <xdr:row>6</xdr:row>
      <xdr:rowOff>38100</xdr:rowOff>
    </xdr:from>
    <xdr:to>
      <xdr:col>11</xdr:col>
      <xdr:colOff>209550</xdr:colOff>
      <xdr:row>20</xdr:row>
      <xdr:rowOff>38100</xdr:rowOff>
    </xdr:to>
    <xdr:graphicFrame macro="">
      <xdr:nvGraphicFramePr>
        <xdr:cNvPr id="6" name="Chart 5">
          <a:extLst>
            <a:ext uri="{FF2B5EF4-FFF2-40B4-BE49-F238E27FC236}">
              <a16:creationId xmlns:a16="http://schemas.microsoft.com/office/drawing/2014/main" id="{74C75A5F-EFF9-4DCF-A93F-DB8C741A9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57150</xdr:colOff>
      <xdr:row>0</xdr:row>
      <xdr:rowOff>171450</xdr:rowOff>
    </xdr:from>
    <xdr:to>
      <xdr:col>18</xdr:col>
      <xdr:colOff>333375</xdr:colOff>
      <xdr:row>5</xdr:row>
      <xdr:rowOff>171450</xdr:rowOff>
    </xdr:to>
    <xdr:sp macro="" textlink="">
      <xdr:nvSpPr>
        <xdr:cNvPr id="7" name="Rectangle: Diagonal Corners Snipped 6">
          <a:extLst>
            <a:ext uri="{FF2B5EF4-FFF2-40B4-BE49-F238E27FC236}">
              <a16:creationId xmlns:a16="http://schemas.microsoft.com/office/drawing/2014/main" id="{B5907DBE-3A9D-78BB-812D-154207E14413}"/>
            </a:ext>
          </a:extLst>
        </xdr:cNvPr>
        <xdr:cNvSpPr/>
      </xdr:nvSpPr>
      <xdr:spPr>
        <a:xfrm>
          <a:off x="10344150" y="171450"/>
          <a:ext cx="2333625" cy="904875"/>
        </a:xfrm>
        <a:prstGeom prst="snip2DiagRect">
          <a:avLst>
            <a:gd name="adj1" fmla="val 23158"/>
            <a:gd name="adj2" fmla="val 219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Avg Energy</a:t>
          </a:r>
          <a:endParaRPr lang="ar-EG" sz="1800"/>
        </a:p>
        <a:p>
          <a:pPr algn="ctr"/>
          <a:r>
            <a:rPr lang="ar-EG" sz="1800" b="0" i="0" u="none" strike="noStrike">
              <a:solidFill>
                <a:schemeClr val="lt1"/>
              </a:solidFill>
              <a:effectLst/>
              <a:latin typeface="+mn-lt"/>
              <a:ea typeface="+mn-ea"/>
              <a:cs typeface="+mn-cs"/>
            </a:rPr>
            <a:t>63%</a:t>
          </a:r>
          <a:endParaRPr lang="ar-EG" sz="1800"/>
        </a:p>
      </xdr:txBody>
    </xdr:sp>
    <xdr:clientData/>
  </xdr:twoCellAnchor>
  <xdr:twoCellAnchor>
    <xdr:from>
      <xdr:col>11</xdr:col>
      <xdr:colOff>381000</xdr:colOff>
      <xdr:row>0</xdr:row>
      <xdr:rowOff>171450</xdr:rowOff>
    </xdr:from>
    <xdr:to>
      <xdr:col>14</xdr:col>
      <xdr:colOff>657225</xdr:colOff>
      <xdr:row>5</xdr:row>
      <xdr:rowOff>171450</xdr:rowOff>
    </xdr:to>
    <xdr:sp macro="" textlink="">
      <xdr:nvSpPr>
        <xdr:cNvPr id="8" name="Rectangle: Diagonal Corners Snipped 7">
          <a:extLst>
            <a:ext uri="{FF2B5EF4-FFF2-40B4-BE49-F238E27FC236}">
              <a16:creationId xmlns:a16="http://schemas.microsoft.com/office/drawing/2014/main" id="{81CB510A-2C39-0DDD-451B-477A35C6C629}"/>
            </a:ext>
          </a:extLst>
        </xdr:cNvPr>
        <xdr:cNvSpPr/>
      </xdr:nvSpPr>
      <xdr:spPr>
        <a:xfrm>
          <a:off x="7924800" y="171450"/>
          <a:ext cx="2333625" cy="904875"/>
        </a:xfrm>
        <a:prstGeom prst="snip2DiagRect">
          <a:avLst>
            <a:gd name="adj1" fmla="val 23158"/>
            <a:gd name="adj2" fmla="val 219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Avg BPM</a:t>
          </a:r>
          <a:endParaRPr lang="ar-EG" sz="1800"/>
        </a:p>
        <a:p>
          <a:pPr algn="ctr"/>
          <a:r>
            <a:rPr lang="ar-EG" sz="1800" b="0" i="0" u="none" strike="noStrike">
              <a:solidFill>
                <a:schemeClr val="lt1"/>
              </a:solidFill>
              <a:effectLst/>
              <a:latin typeface="+mn-lt"/>
              <a:ea typeface="+mn-ea"/>
              <a:cs typeface="+mn-cs"/>
            </a:rPr>
            <a:t>115.78</a:t>
          </a:r>
          <a:r>
            <a:rPr lang="ar-EG" sz="1800"/>
            <a:t> </a:t>
          </a:r>
        </a:p>
      </xdr:txBody>
    </xdr:sp>
    <xdr:clientData/>
  </xdr:twoCellAnchor>
  <xdr:twoCellAnchor>
    <xdr:from>
      <xdr:col>4</xdr:col>
      <xdr:colOff>304800</xdr:colOff>
      <xdr:row>0</xdr:row>
      <xdr:rowOff>152400</xdr:rowOff>
    </xdr:from>
    <xdr:to>
      <xdr:col>7</xdr:col>
      <xdr:colOff>581025</xdr:colOff>
      <xdr:row>5</xdr:row>
      <xdr:rowOff>152400</xdr:rowOff>
    </xdr:to>
    <xdr:sp macro="" textlink="">
      <xdr:nvSpPr>
        <xdr:cNvPr id="9" name="Rectangle: Diagonal Corners Snipped 8">
          <a:extLst>
            <a:ext uri="{FF2B5EF4-FFF2-40B4-BE49-F238E27FC236}">
              <a16:creationId xmlns:a16="http://schemas.microsoft.com/office/drawing/2014/main" id="{1E144839-157D-4BD4-0713-36D8B17CC899}"/>
            </a:ext>
          </a:extLst>
        </xdr:cNvPr>
        <xdr:cNvSpPr/>
      </xdr:nvSpPr>
      <xdr:spPr>
        <a:xfrm>
          <a:off x="3048000" y="152400"/>
          <a:ext cx="2333625" cy="904875"/>
        </a:xfrm>
        <a:prstGeom prst="snip2DiagRect">
          <a:avLst>
            <a:gd name="adj1" fmla="val 23158"/>
            <a:gd name="adj2" fmla="val 219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b="0"/>
            <a:t>Total Streams</a:t>
          </a:r>
          <a:endParaRPr lang="ar-EG" sz="1800" b="0"/>
        </a:p>
        <a:p>
          <a:pPr algn="ctr"/>
          <a:r>
            <a:rPr lang="ar-EG" sz="1800" b="0" i="0" u="none" strike="noStrike">
              <a:solidFill>
                <a:schemeClr val="lt1"/>
              </a:solidFill>
              <a:effectLst/>
              <a:latin typeface="+mn-lt"/>
              <a:ea typeface="+mn-ea"/>
              <a:cs typeface="+mn-cs"/>
            </a:rPr>
            <a:t>80.66000044</a:t>
          </a:r>
          <a:r>
            <a:rPr lang="ar-EG" sz="1800" b="0"/>
            <a:t> </a:t>
          </a:r>
        </a:p>
      </xdr:txBody>
    </xdr:sp>
    <xdr:clientData/>
  </xdr:twoCellAnchor>
  <xdr:twoCellAnchor>
    <xdr:from>
      <xdr:col>8</xdr:col>
      <xdr:colOff>0</xdr:colOff>
      <xdr:row>1</xdr:row>
      <xdr:rowOff>0</xdr:rowOff>
    </xdr:from>
    <xdr:to>
      <xdr:col>11</xdr:col>
      <xdr:colOff>276225</xdr:colOff>
      <xdr:row>6</xdr:row>
      <xdr:rowOff>0</xdr:rowOff>
    </xdr:to>
    <xdr:sp macro="" textlink="">
      <xdr:nvSpPr>
        <xdr:cNvPr id="10" name="Rectangle: Diagonal Corners Snipped 9">
          <a:extLst>
            <a:ext uri="{FF2B5EF4-FFF2-40B4-BE49-F238E27FC236}">
              <a16:creationId xmlns:a16="http://schemas.microsoft.com/office/drawing/2014/main" id="{87F7DD79-70C2-E4DF-FD6A-371ABEC384E9}"/>
            </a:ext>
          </a:extLst>
        </xdr:cNvPr>
        <xdr:cNvSpPr/>
      </xdr:nvSpPr>
      <xdr:spPr>
        <a:xfrm>
          <a:off x="5486400" y="180975"/>
          <a:ext cx="2333625" cy="904875"/>
        </a:xfrm>
        <a:prstGeom prst="snip2DiagRect">
          <a:avLst>
            <a:gd name="adj1" fmla="val 23158"/>
            <a:gd name="adj2" fmla="val 2193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800"/>
            <a:t>Total Songs</a:t>
          </a:r>
          <a:endParaRPr lang="ar-EG" sz="1800"/>
        </a:p>
        <a:p>
          <a:pPr algn="ctr"/>
          <a:r>
            <a:rPr lang="ar-EG" sz="1800"/>
            <a:t>100</a:t>
          </a:r>
        </a:p>
      </xdr:txBody>
    </xdr:sp>
    <xdr:clientData/>
  </xdr:twoCellAnchor>
  <xdr:twoCellAnchor>
    <xdr:from>
      <xdr:col>0</xdr:col>
      <xdr:colOff>142874</xdr:colOff>
      <xdr:row>0</xdr:row>
      <xdr:rowOff>123826</xdr:rowOff>
    </xdr:from>
    <xdr:to>
      <xdr:col>4</xdr:col>
      <xdr:colOff>190499</xdr:colOff>
      <xdr:row>3</xdr:row>
      <xdr:rowOff>123825</xdr:rowOff>
    </xdr:to>
    <xdr:sp macro="" textlink="">
      <xdr:nvSpPr>
        <xdr:cNvPr id="11" name="Rectangle: Rounded Corners 10">
          <a:extLst>
            <a:ext uri="{FF2B5EF4-FFF2-40B4-BE49-F238E27FC236}">
              <a16:creationId xmlns:a16="http://schemas.microsoft.com/office/drawing/2014/main" id="{9F76FE2A-1DE8-3EFF-0160-93FE28D1DEE0}"/>
            </a:ext>
          </a:extLst>
        </xdr:cNvPr>
        <xdr:cNvSpPr/>
      </xdr:nvSpPr>
      <xdr:spPr>
        <a:xfrm>
          <a:off x="142874" y="12382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Basic Dashboard</a:t>
          </a:r>
          <a:endParaRPr lang="ar-EG" sz="1500"/>
        </a:p>
      </xdr:txBody>
    </xdr:sp>
    <xdr:clientData/>
  </xdr:twoCellAnchor>
  <xdr:twoCellAnchor>
    <xdr:from>
      <xdr:col>0</xdr:col>
      <xdr:colOff>142874</xdr:colOff>
      <xdr:row>3</xdr:row>
      <xdr:rowOff>171451</xdr:rowOff>
    </xdr:from>
    <xdr:to>
      <xdr:col>4</xdr:col>
      <xdr:colOff>190499</xdr:colOff>
      <xdr:row>6</xdr:row>
      <xdr:rowOff>171450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6BA0664A-7542-2A4C-A9FD-8A0581CF11CE}"/>
            </a:ext>
          </a:extLst>
        </xdr:cNvPr>
        <xdr:cNvSpPr/>
      </xdr:nvSpPr>
      <xdr:spPr>
        <a:xfrm>
          <a:off x="142874" y="71437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Dashboard of 50 artists at the 2025 level</a:t>
          </a:r>
          <a:endParaRPr lang="ar-EG" sz="1500">
            <a:effectLst/>
          </a:endParaRPr>
        </a:p>
      </xdr:txBody>
    </xdr:sp>
    <xdr:clientData/>
  </xdr:twoCellAnchor>
  <xdr:twoCellAnchor>
    <xdr:from>
      <xdr:col>0</xdr:col>
      <xdr:colOff>142874</xdr:colOff>
      <xdr:row>7</xdr:row>
      <xdr:rowOff>38101</xdr:rowOff>
    </xdr:from>
    <xdr:to>
      <xdr:col>4</xdr:col>
      <xdr:colOff>190499</xdr:colOff>
      <xdr:row>10</xdr:row>
      <xdr:rowOff>38100</xdr:rowOff>
    </xdr:to>
    <xdr:sp macro="" textlink="">
      <xdr:nvSpPr>
        <xdr:cNvPr id="16" name="Rectangle: Rounded Corners 15">
          <a:extLst>
            <a:ext uri="{FF2B5EF4-FFF2-40B4-BE49-F238E27FC236}">
              <a16:creationId xmlns:a16="http://schemas.microsoft.com/office/drawing/2014/main" id="{93BC3775-D526-4E74-000F-00C419FD1A98}"/>
            </a:ext>
          </a:extLst>
        </xdr:cNvPr>
        <xdr:cNvSpPr/>
      </xdr:nvSpPr>
      <xdr:spPr>
        <a:xfrm>
          <a:off x="142874" y="130492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Dashboard with 50 songs at the 2025 level</a:t>
          </a:r>
          <a:endParaRPr lang="ar-EG" sz="1500">
            <a:effectLst/>
          </a:endParaRPr>
        </a:p>
      </xdr:txBody>
    </xdr:sp>
    <xdr:clientData/>
  </xdr:twoCellAnchor>
  <xdr:twoCellAnchor>
    <xdr:from>
      <xdr:col>0</xdr:col>
      <xdr:colOff>142874</xdr:colOff>
      <xdr:row>10</xdr:row>
      <xdr:rowOff>95251</xdr:rowOff>
    </xdr:from>
    <xdr:to>
      <xdr:col>4</xdr:col>
      <xdr:colOff>190499</xdr:colOff>
      <xdr:row>13</xdr:row>
      <xdr:rowOff>95250</xdr:rowOff>
    </xdr:to>
    <xdr:sp macro="" textlink="">
      <xdr:nvSpPr>
        <xdr:cNvPr id="17" name="Rectangle: Rounded Corners 16">
          <a:extLst>
            <a:ext uri="{FF2B5EF4-FFF2-40B4-BE49-F238E27FC236}">
              <a16:creationId xmlns:a16="http://schemas.microsoft.com/office/drawing/2014/main" id="{FA8AB5F1-9752-CA0A-C0DF-AB29E210EDC1}"/>
            </a:ext>
          </a:extLst>
        </xdr:cNvPr>
        <xdr:cNvSpPr/>
      </xdr:nvSpPr>
      <xdr:spPr>
        <a:xfrm>
          <a:off x="142874" y="1905001"/>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View data details</a:t>
          </a:r>
          <a:endParaRPr lang="ar-EG" sz="1500">
            <a:effectLst/>
          </a:endParaRPr>
        </a:p>
      </xdr:txBody>
    </xdr:sp>
    <xdr:clientData/>
  </xdr:twoCellAnchor>
  <xdr:twoCellAnchor editAs="oneCell">
    <xdr:from>
      <xdr:col>0</xdr:col>
      <xdr:colOff>85726</xdr:colOff>
      <xdr:row>13</xdr:row>
      <xdr:rowOff>133351</xdr:rowOff>
    </xdr:from>
    <xdr:to>
      <xdr:col>4</xdr:col>
      <xdr:colOff>200026</xdr:colOff>
      <xdr:row>21</xdr:row>
      <xdr:rowOff>38101</xdr:rowOff>
    </xdr:to>
    <mc:AlternateContent xmlns:mc="http://schemas.openxmlformats.org/markup-compatibility/2006" xmlns:a14="http://schemas.microsoft.com/office/drawing/2010/main">
      <mc:Choice Requires="a14">
        <xdr:graphicFrame macro="">
          <xdr:nvGraphicFramePr>
            <xdr:cNvPr id="21" name="primary_genre">
              <a:extLst>
                <a:ext uri="{FF2B5EF4-FFF2-40B4-BE49-F238E27FC236}">
                  <a16:creationId xmlns:a16="http://schemas.microsoft.com/office/drawing/2014/main" id="{72EC4605-6AFC-B8CC-D0F7-110FAD656C89}"/>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mlns="">
        <xdr:sp macro="" textlink="">
          <xdr:nvSpPr>
            <xdr:cNvPr id="0" name=""/>
            <xdr:cNvSpPr>
              <a:spLocks noTextEdit="1"/>
            </xdr:cNvSpPr>
          </xdr:nvSpPr>
          <xdr:spPr>
            <a:xfrm>
              <a:off x="85726" y="2486026"/>
              <a:ext cx="2857500" cy="13525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21</xdr:row>
      <xdr:rowOff>47626</xdr:rowOff>
    </xdr:from>
    <xdr:to>
      <xdr:col>4</xdr:col>
      <xdr:colOff>190500</xdr:colOff>
      <xdr:row>28</xdr:row>
      <xdr:rowOff>152400</xdr:rowOff>
    </xdr:to>
    <mc:AlternateContent xmlns:mc="http://schemas.openxmlformats.org/markup-compatibility/2006" xmlns:a14="http://schemas.microsoft.com/office/drawing/2010/main">
      <mc:Choice Requires="a14">
        <xdr:graphicFrame macro="">
          <xdr:nvGraphicFramePr>
            <xdr:cNvPr id="22" name="release_year">
              <a:extLst>
                <a:ext uri="{FF2B5EF4-FFF2-40B4-BE49-F238E27FC236}">
                  <a16:creationId xmlns:a16="http://schemas.microsoft.com/office/drawing/2014/main" id="{F2C9104A-7588-9289-E187-80C8BA7FE2A8}"/>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76200" y="3848101"/>
              <a:ext cx="2857500" cy="13715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28</xdr:row>
      <xdr:rowOff>171451</xdr:rowOff>
    </xdr:from>
    <xdr:to>
      <xdr:col>4</xdr:col>
      <xdr:colOff>180975</xdr:colOff>
      <xdr:row>34</xdr:row>
      <xdr:rowOff>9524</xdr:rowOff>
    </xdr:to>
    <mc:AlternateContent xmlns:mc="http://schemas.openxmlformats.org/markup-compatibility/2006" xmlns:a14="http://schemas.microsoft.com/office/drawing/2010/main">
      <mc:Choice Requires="a14">
        <xdr:graphicFrame macro="">
          <xdr:nvGraphicFramePr>
            <xdr:cNvPr id="23" name="song_vibe_category">
              <a:extLst>
                <a:ext uri="{FF2B5EF4-FFF2-40B4-BE49-F238E27FC236}">
                  <a16:creationId xmlns:a16="http://schemas.microsoft.com/office/drawing/2014/main" id="{5B1ECEF5-B513-10FC-D5F6-FFE82C942841}"/>
                </a:ext>
              </a:extLst>
            </xdr:cNvPr>
            <xdr:cNvGraphicFramePr/>
          </xdr:nvGraphicFramePr>
          <xdr:xfrm>
            <a:off x="0" y="0"/>
            <a:ext cx="0" cy="0"/>
          </xdr:xfrm>
          <a:graphic>
            <a:graphicData uri="http://schemas.microsoft.com/office/drawing/2010/slicer">
              <sle:slicer xmlns:sle="http://schemas.microsoft.com/office/drawing/2010/slicer" name="song_vibe_category"/>
            </a:graphicData>
          </a:graphic>
        </xdr:graphicFrame>
      </mc:Choice>
      <mc:Fallback xmlns="">
        <xdr:sp macro="" textlink="">
          <xdr:nvSpPr>
            <xdr:cNvPr id="0" name=""/>
            <xdr:cNvSpPr>
              <a:spLocks noTextEdit="1"/>
            </xdr:cNvSpPr>
          </xdr:nvSpPr>
          <xdr:spPr>
            <a:xfrm>
              <a:off x="66675" y="5238751"/>
              <a:ext cx="2857500" cy="92392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390525</xdr:colOff>
      <xdr:row>32</xdr:row>
      <xdr:rowOff>66675</xdr:rowOff>
    </xdr:to>
    <xdr:sp macro="" textlink="">
      <xdr:nvSpPr>
        <xdr:cNvPr id="2" name="Rectangle: Rounded Corners 1">
          <a:extLst>
            <a:ext uri="{FF2B5EF4-FFF2-40B4-BE49-F238E27FC236}">
              <a16:creationId xmlns:a16="http://schemas.microsoft.com/office/drawing/2014/main" id="{F253ADF4-3D14-4D13-83D7-E0BA02402513}"/>
            </a:ext>
          </a:extLst>
        </xdr:cNvPr>
        <xdr:cNvSpPr/>
      </xdr:nvSpPr>
      <xdr:spPr>
        <a:xfrm>
          <a:off x="0" y="0"/>
          <a:ext cx="12734925" cy="6105525"/>
        </a:xfrm>
        <a:prstGeom prst="roundRect">
          <a:avLst>
            <a:gd name="adj" fmla="val 215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85724</xdr:colOff>
      <xdr:row>0</xdr:row>
      <xdr:rowOff>47626</xdr:rowOff>
    </xdr:from>
    <xdr:to>
      <xdr:col>4</xdr:col>
      <xdr:colOff>133349</xdr:colOff>
      <xdr:row>2</xdr:row>
      <xdr:rowOff>104775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2D06C1E-18B4-4DC0-BEC7-CF28C76CB057}"/>
            </a:ext>
          </a:extLst>
        </xdr:cNvPr>
        <xdr:cNvSpPr/>
      </xdr:nvSpPr>
      <xdr:spPr>
        <a:xfrm>
          <a:off x="85724" y="4762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500"/>
            <a:t>Basic Dashboard</a:t>
          </a:r>
          <a:endParaRPr lang="ar-EG" sz="1500"/>
        </a:p>
      </xdr:txBody>
    </xdr:sp>
    <xdr:clientData/>
  </xdr:twoCellAnchor>
  <xdr:twoCellAnchor>
    <xdr:from>
      <xdr:col>0</xdr:col>
      <xdr:colOff>85724</xdr:colOff>
      <xdr:row>2</xdr:row>
      <xdr:rowOff>152401</xdr:rowOff>
    </xdr:from>
    <xdr:to>
      <xdr:col>4</xdr:col>
      <xdr:colOff>133349</xdr:colOff>
      <xdr:row>5</xdr:row>
      <xdr:rowOff>152400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1785038-1A12-477B-8CE3-9D1C9AD3DE46}"/>
            </a:ext>
          </a:extLst>
        </xdr:cNvPr>
        <xdr:cNvSpPr/>
      </xdr:nvSpPr>
      <xdr:spPr>
        <a:xfrm>
          <a:off x="85724" y="63817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400">
              <a:solidFill>
                <a:schemeClr val="lt1"/>
              </a:solidFill>
              <a:effectLst/>
              <a:latin typeface="+mn-lt"/>
              <a:ea typeface="+mn-ea"/>
              <a:cs typeface="+mn-cs"/>
            </a:rPr>
            <a:t>Dashboard of the top 100 songs on the program</a:t>
          </a:r>
          <a:endParaRPr lang="ar-EG" sz="2000">
            <a:effectLst/>
          </a:endParaRPr>
        </a:p>
      </xdr:txBody>
    </xdr:sp>
    <xdr:clientData/>
  </xdr:twoCellAnchor>
  <xdr:twoCellAnchor>
    <xdr:from>
      <xdr:col>0</xdr:col>
      <xdr:colOff>85724</xdr:colOff>
      <xdr:row>6</xdr:row>
      <xdr:rowOff>19051</xdr:rowOff>
    </xdr:from>
    <xdr:to>
      <xdr:col>4</xdr:col>
      <xdr:colOff>133349</xdr:colOff>
      <xdr:row>8</xdr:row>
      <xdr:rowOff>76200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09A0CE0A-E863-44C4-BF65-46712157238F}"/>
            </a:ext>
          </a:extLst>
        </xdr:cNvPr>
        <xdr:cNvSpPr/>
      </xdr:nvSpPr>
      <xdr:spPr>
        <a:xfrm>
          <a:off x="85724" y="1228726"/>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Dashboard with 50 songs at the 2025 level</a:t>
          </a:r>
          <a:endParaRPr lang="ar-EG" sz="1500">
            <a:effectLst/>
          </a:endParaRPr>
        </a:p>
      </xdr:txBody>
    </xdr:sp>
    <xdr:clientData/>
  </xdr:twoCellAnchor>
  <xdr:twoCellAnchor>
    <xdr:from>
      <xdr:col>0</xdr:col>
      <xdr:colOff>85724</xdr:colOff>
      <xdr:row>8</xdr:row>
      <xdr:rowOff>133351</xdr:rowOff>
    </xdr:from>
    <xdr:to>
      <xdr:col>4</xdr:col>
      <xdr:colOff>133349</xdr:colOff>
      <xdr:row>11</xdr:row>
      <xdr:rowOff>133350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618B61FC-516B-418D-9A1C-EF32AE050D03}"/>
            </a:ext>
          </a:extLst>
        </xdr:cNvPr>
        <xdr:cNvSpPr/>
      </xdr:nvSpPr>
      <xdr:spPr>
        <a:xfrm>
          <a:off x="85724" y="1828801"/>
          <a:ext cx="2790825" cy="542924"/>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500">
              <a:solidFill>
                <a:schemeClr val="lt1"/>
              </a:solidFill>
              <a:effectLst/>
              <a:latin typeface="+mn-lt"/>
              <a:ea typeface="+mn-ea"/>
              <a:cs typeface="+mn-cs"/>
            </a:rPr>
            <a:t>View data details</a:t>
          </a:r>
          <a:endParaRPr lang="ar-EG" sz="1500">
            <a:effectLst/>
          </a:endParaRPr>
        </a:p>
      </xdr:txBody>
    </xdr:sp>
    <xdr:clientData/>
  </xdr:twoCellAnchor>
  <xdr:twoCellAnchor>
    <xdr:from>
      <xdr:col>4</xdr:col>
      <xdr:colOff>209550</xdr:colOff>
      <xdr:row>0</xdr:row>
      <xdr:rowOff>161926</xdr:rowOff>
    </xdr:from>
    <xdr:to>
      <xdr:col>7</xdr:col>
      <xdr:colOff>95250</xdr:colOff>
      <xdr:row>6</xdr:row>
      <xdr:rowOff>95251</xdr:rowOff>
    </xdr:to>
    <xdr:sp macro="" textlink="">
      <xdr:nvSpPr>
        <xdr:cNvPr id="7" name="Rectangle: Top Corners Rounded 6">
          <a:extLst>
            <a:ext uri="{FF2B5EF4-FFF2-40B4-BE49-F238E27FC236}">
              <a16:creationId xmlns:a16="http://schemas.microsoft.com/office/drawing/2014/main" id="{AC08AD8C-6CC5-B38E-861A-753BC1A7B539}"/>
            </a:ext>
          </a:extLst>
        </xdr:cNvPr>
        <xdr:cNvSpPr/>
      </xdr:nvSpPr>
      <xdr:spPr>
        <a:xfrm>
          <a:off x="2952750" y="161926"/>
          <a:ext cx="1943100" cy="1143000"/>
        </a:xfrm>
        <a:prstGeom prst="round2SameRect">
          <a:avLst>
            <a:gd name="adj1" fmla="val 50000"/>
            <a:gd name="adj2" fmla="val 5000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600"/>
            <a:t>Global Reach</a:t>
          </a:r>
          <a:endParaRPr lang="ar-EG" sz="1600"/>
        </a:p>
        <a:p>
          <a:pPr algn="ctr"/>
          <a:r>
            <a:rPr lang="ar-EG" sz="1600" b="0" i="0" u="none" strike="noStrike">
              <a:solidFill>
                <a:schemeClr val="lt1"/>
              </a:solidFill>
              <a:effectLst/>
              <a:latin typeface="+mn-lt"/>
              <a:ea typeface="+mn-ea"/>
              <a:cs typeface="+mn-cs"/>
            </a:rPr>
            <a:t>2708.900002</a:t>
          </a:r>
          <a:r>
            <a:rPr lang="ar-EG" sz="1600"/>
            <a:t> </a:t>
          </a:r>
        </a:p>
      </xdr:txBody>
    </xdr:sp>
    <xdr:clientData/>
  </xdr:twoCellAnchor>
  <xdr:twoCellAnchor>
    <xdr:from>
      <xdr:col>4</xdr:col>
      <xdr:colOff>171450</xdr:colOff>
      <xdr:row>7</xdr:row>
      <xdr:rowOff>1</xdr:rowOff>
    </xdr:from>
    <xdr:to>
      <xdr:col>7</xdr:col>
      <xdr:colOff>57150</xdr:colOff>
      <xdr:row>13</xdr:row>
      <xdr:rowOff>57151</xdr:rowOff>
    </xdr:to>
    <xdr:sp macro="" textlink="">
      <xdr:nvSpPr>
        <xdr:cNvPr id="8" name="Rectangle: Top Corners Rounded 7">
          <a:extLst>
            <a:ext uri="{FF2B5EF4-FFF2-40B4-BE49-F238E27FC236}">
              <a16:creationId xmlns:a16="http://schemas.microsoft.com/office/drawing/2014/main" id="{CFE0AFC9-5483-1138-982D-6A4F83CA4CA6}"/>
            </a:ext>
          </a:extLst>
        </xdr:cNvPr>
        <xdr:cNvSpPr/>
      </xdr:nvSpPr>
      <xdr:spPr>
        <a:xfrm>
          <a:off x="2914650" y="1514476"/>
          <a:ext cx="1943100" cy="1143000"/>
        </a:xfrm>
        <a:prstGeom prst="round2SameRect">
          <a:avLst>
            <a:gd name="adj1" fmla="val 50000"/>
            <a:gd name="adj2" fmla="val 5000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600"/>
            <a:t>AverageFollower</a:t>
          </a:r>
          <a:endParaRPr lang="ar-EG" sz="1600"/>
        </a:p>
        <a:p>
          <a:pPr algn="ctr"/>
          <a:r>
            <a:rPr lang="ar-EG" sz="1600" b="0" i="0" u="none" strike="noStrike">
              <a:solidFill>
                <a:schemeClr val="lt1"/>
              </a:solidFill>
              <a:effectLst/>
              <a:latin typeface="+mn-lt"/>
              <a:ea typeface="+mn-ea"/>
              <a:cs typeface="+mn-cs"/>
            </a:rPr>
            <a:t>2552</a:t>
          </a:r>
          <a:r>
            <a:rPr lang="ar-EG" sz="1600"/>
            <a:t> </a:t>
          </a:r>
        </a:p>
      </xdr:txBody>
    </xdr:sp>
    <xdr:clientData/>
  </xdr:twoCellAnchor>
  <xdr:twoCellAnchor>
    <xdr:from>
      <xdr:col>7</xdr:col>
      <xdr:colOff>104775</xdr:colOff>
      <xdr:row>7</xdr:row>
      <xdr:rowOff>9526</xdr:rowOff>
    </xdr:from>
    <xdr:to>
      <xdr:col>9</xdr:col>
      <xdr:colOff>676275</xdr:colOff>
      <xdr:row>13</xdr:row>
      <xdr:rowOff>66676</xdr:rowOff>
    </xdr:to>
    <xdr:sp macro="" textlink="">
      <xdr:nvSpPr>
        <xdr:cNvPr id="9" name="Rectangle: Top Corners Rounded 8">
          <a:extLst>
            <a:ext uri="{FF2B5EF4-FFF2-40B4-BE49-F238E27FC236}">
              <a16:creationId xmlns:a16="http://schemas.microsoft.com/office/drawing/2014/main" id="{DD514DE0-11B8-DD1F-6602-ECB4D5C6A59F}"/>
            </a:ext>
          </a:extLst>
        </xdr:cNvPr>
        <xdr:cNvSpPr/>
      </xdr:nvSpPr>
      <xdr:spPr>
        <a:xfrm>
          <a:off x="4905375" y="1524001"/>
          <a:ext cx="1943100" cy="1143000"/>
        </a:xfrm>
        <a:prstGeom prst="round2SameRect">
          <a:avLst>
            <a:gd name="adj1" fmla="val 50000"/>
            <a:gd name="adj2" fmla="val 5000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400"/>
            <a:t>Highest country awards</a:t>
          </a:r>
        </a:p>
        <a:p>
          <a:pPr algn="ctr"/>
          <a:r>
            <a:rPr lang="en-GB" sz="1400"/>
            <a:t>USA</a:t>
          </a:r>
          <a:endParaRPr lang="ar-EG" sz="1400"/>
        </a:p>
      </xdr:txBody>
    </xdr:sp>
    <xdr:clientData/>
  </xdr:twoCellAnchor>
  <xdr:twoCellAnchor>
    <xdr:from>
      <xdr:col>7</xdr:col>
      <xdr:colOff>142875</xdr:colOff>
      <xdr:row>0</xdr:row>
      <xdr:rowOff>161926</xdr:rowOff>
    </xdr:from>
    <xdr:to>
      <xdr:col>10</xdr:col>
      <xdr:colOff>28575</xdr:colOff>
      <xdr:row>6</xdr:row>
      <xdr:rowOff>95251</xdr:rowOff>
    </xdr:to>
    <xdr:sp macro="" textlink="">
      <xdr:nvSpPr>
        <xdr:cNvPr id="10" name="Rectangle: Top Corners Rounded 9">
          <a:extLst>
            <a:ext uri="{FF2B5EF4-FFF2-40B4-BE49-F238E27FC236}">
              <a16:creationId xmlns:a16="http://schemas.microsoft.com/office/drawing/2014/main" id="{B03409DB-1536-E6F0-1B5B-F04B00A60229}"/>
            </a:ext>
          </a:extLst>
        </xdr:cNvPr>
        <xdr:cNvSpPr/>
      </xdr:nvSpPr>
      <xdr:spPr>
        <a:xfrm>
          <a:off x="4943475" y="161926"/>
          <a:ext cx="1943100" cy="1143000"/>
        </a:xfrm>
        <a:prstGeom prst="round2SameRect">
          <a:avLst>
            <a:gd name="adj1" fmla="val 50000"/>
            <a:gd name="adj2" fmla="val 5000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1" anchor="ctr"/>
        <a:lstStyle/>
        <a:p>
          <a:pPr algn="ctr"/>
          <a:r>
            <a:rPr lang="en-GB" sz="1600" b="0" i="0" u="none" strike="noStrike">
              <a:solidFill>
                <a:schemeClr val="lt1"/>
              </a:solidFill>
              <a:effectLst/>
              <a:latin typeface="+mn-lt"/>
              <a:ea typeface="+mn-ea"/>
              <a:cs typeface="+mn-cs"/>
            </a:rPr>
            <a:t>Awarded Artist</a:t>
          </a:r>
          <a:endParaRPr lang="ar-EG" sz="1600" b="0" i="0" u="none" strike="noStrike">
            <a:solidFill>
              <a:schemeClr val="lt1"/>
            </a:solidFill>
            <a:effectLst/>
            <a:latin typeface="+mn-lt"/>
            <a:ea typeface="+mn-ea"/>
            <a:cs typeface="+mn-cs"/>
          </a:endParaRPr>
        </a:p>
        <a:p>
          <a:pPr algn="ctr"/>
          <a:r>
            <a:rPr lang="ar-EG" sz="1600" b="0" i="0" u="none" strike="noStrike">
              <a:solidFill>
                <a:schemeClr val="lt1"/>
              </a:solidFill>
              <a:effectLst/>
              <a:latin typeface="+mn-lt"/>
              <a:ea typeface="+mn-ea"/>
              <a:cs typeface="+mn-cs"/>
            </a:rPr>
            <a:t>24</a:t>
          </a:r>
          <a:r>
            <a:rPr lang="ar-EG" sz="1600"/>
            <a:t> </a:t>
          </a:r>
        </a:p>
      </xdr:txBody>
    </xdr:sp>
    <xdr:clientData/>
  </xdr:twoCellAnchor>
  <xdr:twoCellAnchor>
    <xdr:from>
      <xdr:col>14</xdr:col>
      <xdr:colOff>657226</xdr:colOff>
      <xdr:row>13</xdr:row>
      <xdr:rowOff>114300</xdr:rowOff>
    </xdr:from>
    <xdr:to>
      <xdr:col>18</xdr:col>
      <xdr:colOff>361950</xdr:colOff>
      <xdr:row>32</xdr:row>
      <xdr:rowOff>9525</xdr:rowOff>
    </xdr:to>
    <xdr:graphicFrame macro="">
      <xdr:nvGraphicFramePr>
        <xdr:cNvPr id="11" name="Chart 10">
          <a:extLst>
            <a:ext uri="{FF2B5EF4-FFF2-40B4-BE49-F238E27FC236}">
              <a16:creationId xmlns:a16="http://schemas.microsoft.com/office/drawing/2014/main" id="{641AF55F-1198-4B18-A53A-53008AF74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257174</xdr:colOff>
      <xdr:row>13</xdr:row>
      <xdr:rowOff>95250</xdr:rowOff>
    </xdr:from>
    <xdr:to>
      <xdr:col>14</xdr:col>
      <xdr:colOff>581025</xdr:colOff>
      <xdr:row>32</xdr:row>
      <xdr:rowOff>38101</xdr:rowOff>
    </xdr:to>
    <xdr:graphicFrame macro="">
      <xdr:nvGraphicFramePr>
        <xdr:cNvPr id="12" name="Chart 11">
          <a:extLst>
            <a:ext uri="{FF2B5EF4-FFF2-40B4-BE49-F238E27FC236}">
              <a16:creationId xmlns:a16="http://schemas.microsoft.com/office/drawing/2014/main" id="{D7BBAF07-E650-48ED-9FC4-6688BA04B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114300</xdr:colOff>
      <xdr:row>0</xdr:row>
      <xdr:rowOff>85725</xdr:rowOff>
    </xdr:from>
    <xdr:to>
      <xdr:col>18</xdr:col>
      <xdr:colOff>338137</xdr:colOff>
      <xdr:row>13</xdr:row>
      <xdr:rowOff>57150</xdr:rowOff>
    </xdr:to>
    <xdr:graphicFrame macro="">
      <xdr:nvGraphicFramePr>
        <xdr:cNvPr id="13" name="Chart 12">
          <a:extLst>
            <a:ext uri="{FF2B5EF4-FFF2-40B4-BE49-F238E27FC236}">
              <a16:creationId xmlns:a16="http://schemas.microsoft.com/office/drawing/2014/main" id="{0FC90E57-BFE4-4481-95CE-2382F4E3B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176212</xdr:colOff>
      <xdr:row>13</xdr:row>
      <xdr:rowOff>104775</xdr:rowOff>
    </xdr:from>
    <xdr:to>
      <xdr:col>9</xdr:col>
      <xdr:colOff>228600</xdr:colOff>
      <xdr:row>32</xdr:row>
      <xdr:rowOff>38100</xdr:rowOff>
    </xdr:to>
    <xdr:graphicFrame macro="">
      <xdr:nvGraphicFramePr>
        <xdr:cNvPr id="14" name="Chart 13">
          <a:extLst>
            <a:ext uri="{FF2B5EF4-FFF2-40B4-BE49-F238E27FC236}">
              <a16:creationId xmlns:a16="http://schemas.microsoft.com/office/drawing/2014/main" id="{F0211B47-E7B9-4DFE-A3F0-444683A9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95250</xdr:colOff>
      <xdr:row>12</xdr:row>
      <xdr:rowOff>1</xdr:rowOff>
    </xdr:from>
    <xdr:to>
      <xdr:col>4</xdr:col>
      <xdr:colOff>114300</xdr:colOff>
      <xdr:row>21</xdr:row>
      <xdr:rowOff>66676</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FECC146F-5328-D5D8-6286-5F384D11241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250" y="2419351"/>
              <a:ext cx="2762250" cy="16954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21</xdr:row>
      <xdr:rowOff>114300</xdr:rowOff>
    </xdr:from>
    <xdr:to>
      <xdr:col>1</xdr:col>
      <xdr:colOff>600075</xdr:colOff>
      <xdr:row>31</xdr:row>
      <xdr:rowOff>142875</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39FAE774-692A-1D56-1825-6CF7F772020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4300" y="4162425"/>
              <a:ext cx="1171575" cy="18383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619125</xdr:colOff>
      <xdr:row>21</xdr:row>
      <xdr:rowOff>123826</xdr:rowOff>
    </xdr:from>
    <xdr:to>
      <xdr:col>4</xdr:col>
      <xdr:colOff>114300</xdr:colOff>
      <xdr:row>31</xdr:row>
      <xdr:rowOff>161926</xdr:rowOff>
    </xdr:to>
    <mc:AlternateContent xmlns:mc="http://schemas.openxmlformats.org/markup-compatibility/2006">
      <mc:Choice xmlns:a14="http://schemas.microsoft.com/office/drawing/2010/main" Requires="a14">
        <xdr:graphicFrame macro="">
          <xdr:nvGraphicFramePr>
            <xdr:cNvPr id="17" name="award_status">
              <a:extLst>
                <a:ext uri="{FF2B5EF4-FFF2-40B4-BE49-F238E27FC236}">
                  <a16:creationId xmlns:a16="http://schemas.microsoft.com/office/drawing/2014/main" id="{A66CBD8F-BA2A-ADD2-0384-87247518F4D7}"/>
                </a:ext>
              </a:extLst>
            </xdr:cNvPr>
            <xdr:cNvGraphicFramePr/>
          </xdr:nvGraphicFramePr>
          <xdr:xfrm>
            <a:off x="0" y="0"/>
            <a:ext cx="0" cy="0"/>
          </xdr:xfrm>
          <a:graphic>
            <a:graphicData uri="http://schemas.microsoft.com/office/drawing/2010/slicer">
              <sle:slicer xmlns:sle="http://schemas.microsoft.com/office/drawing/2010/slicer" name="award_status"/>
            </a:graphicData>
          </a:graphic>
        </xdr:graphicFrame>
      </mc:Choice>
      <mc:Fallback>
        <xdr:sp macro="" textlink="">
          <xdr:nvSpPr>
            <xdr:cNvPr id="0" name=""/>
            <xdr:cNvSpPr>
              <a:spLocks noTextEdit="1"/>
            </xdr:cNvSpPr>
          </xdr:nvSpPr>
          <xdr:spPr>
            <a:xfrm>
              <a:off x="1304925" y="4171951"/>
              <a:ext cx="1552575" cy="18478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us" refreshedDate="46111.484577430558" createdVersion="8" refreshedVersion="8" minRefreshableVersion="3" recordCount="100" xr:uid="{97ED0850-43A7-475A-97A2-E5DE28E7D531}">
  <cacheSource type="worksheet">
    <worksheetSource name="Query1"/>
  </cacheSource>
  <cacheFields count="15">
    <cacheField name="song_title" numFmtId="0">
      <sharedItems count="100">
        <s v="Blinding Lights"/>
        <s v="Shape of You"/>
        <s v="Someone You Loved"/>
        <s v="Sunflower"/>
        <s v="One Dance"/>
        <s v="Stay"/>
        <s v="Believer"/>
        <s v="Rockstar"/>
        <s v="Dance Monkey"/>
        <s v="Happier"/>
        <s v="Senorita"/>
        <s v="Watermelon Sugar"/>
        <s v="Perfect"/>
        <s v="Levitating"/>
        <s v="Heat Waves"/>
        <s v="Bad Guy"/>
        <s v="Drivers License"/>
        <s v="Circles"/>
        <s v="Memories"/>
        <s v="Shallow"/>
        <s v="As It Was"/>
        <s v="Dynamite"/>
        <s v="Flowers"/>
        <s v="Counting Stars"/>
        <s v="Lucid Dreams"/>
        <s v="Closer"/>
        <s v="Calm Down"/>
        <s v="Anti-Hero"/>
        <s v="Save Your Tears"/>
        <s v="Die For You"/>
        <s v="Lovely"/>
        <s v="Uptown Funk"/>
        <s v="Sweater Weather"/>
        <s v="Cruel Summer"/>
        <s v="Despacito"/>
        <s v="Havana"/>
        <s v="Easy On Me"/>
        <s v="Lose Yourself"/>
        <s v="Numb"/>
        <s v="Smells Like Teen Spirit"/>
        <s v="Espresso"/>
        <s v="Radioactive"/>
        <s v="Running Up That Hill"/>
        <s v="Not Like Us"/>
        <s v="good 4 u"/>
        <s v="All I Want for Christmas Is You"/>
        <s v="Starboy"/>
        <s v="goosebumps"/>
        <s v="7 rings"/>
        <s v="Die With A Smile"/>
        <s v="Peaches"/>
        <s v="Falling"/>
        <s v="Thunder"/>
        <s v="Bad Habits"/>
        <s v="Butter"/>
        <s v="Night Changes"/>
        <s v="High Hopes"/>
        <s v="Riptide"/>
        <s v="Way Down We Go"/>
        <s v="Heather"/>
        <s v="Mood"/>
        <s v="Photograph"/>
        <s v="Love Yourself"/>
        <s v="Without Me"/>
        <s v="Something Just Like This"/>
        <s v="Positions"/>
        <s v="Roses"/>
        <s v="Thinking Out Loud"/>
        <s v="Wrecking Ball"/>
        <s v="golden hour"/>
        <s v="Unstoppable"/>
        <s v="abcdefu"/>
        <s v="Sunroof"/>
        <s v="Beautiful Things"/>
        <s v="middle of the night"/>
        <s v="Savage Love"/>
        <s v="APT."/>
        <s v="Welcome To The Black Parade"/>
        <s v="Iris"/>
        <s v="Astronaut In The Ocean"/>
        <s v="Levii's Jeans"/>
        <s v="Lose Control"/>
        <s v="Too Sweet"/>
        <s v="Sign of the Times"/>
        <s v="Adore You"/>
        <s v="Arcade"/>
        <s v="See You Again"/>
        <s v="Attention"/>
        <s v="In The Stars"/>
        <s v="Kiss Me More"/>
        <s v="End Of Beginning"/>
        <s v="Ribs"/>
        <s v="Lemon Tree"/>
        <s v="Bliss"/>
        <s v="Stumblin' In"/>
        <s v="Electricity"/>
        <s v="Blinding Lights (Remix)"/>
        <s v="Falling For You"/>
        <s v="Laugh Now Cry Later"/>
        <s v="Shake It Off"/>
      </sharedItems>
    </cacheField>
    <cacheField name="artist" numFmtId="0">
      <sharedItems count="80">
        <s v="The Weeknd"/>
        <s v="Ed Sheeran"/>
        <s v="Lewis Capaldi"/>
        <s v="Post Malone &amp; Swae Lee"/>
        <s v="Drake"/>
        <s v="The Kid LAROI &amp; Justin Bieber"/>
        <s v="Imagine Dragons"/>
        <s v="Post Malone ft. 21 Savage"/>
        <s v="Tones and I"/>
        <s v="Marshmello &amp; Bastille"/>
        <s v="Shawn Mendes &amp; Camila Cabello"/>
        <s v="Harry Styles"/>
        <s v="Dua Lipa"/>
        <s v="Glass Animals"/>
        <s v="Billie Eilish"/>
        <s v="Olivia Rodrigo"/>
        <s v="Post Malone"/>
        <s v="Maroon 5"/>
        <s v="Lady Gaga &amp; Bradley Cooper"/>
        <s v="BTS"/>
        <s v="Miley Cyrus"/>
        <s v="OneRepublic"/>
        <s v="Juice WRLD"/>
        <s v="The Chainsmokers ft. Halsey"/>
        <s v="Rema &amp; Selena Gomez"/>
        <s v="Taylor Swift"/>
        <s v="Billie Eilish &amp; Khalid"/>
        <s v="Mark Ronson ft. Bruno Mars"/>
        <s v="The Neighbourhood"/>
        <s v="Luis Fonsi ft. Daddy Yankee"/>
        <s v="Camila Cabello ft. Young Thug"/>
        <s v="Adele"/>
        <s v="Eminem"/>
        <s v="Linkin Park"/>
        <s v="Nirvana"/>
        <s v="Sabrina Carpenter"/>
        <s v="Kate Bush"/>
        <s v="Kendrick Lamar"/>
        <s v="Mariah Carey"/>
        <s v="The Weeknd ft. Daft Punk"/>
        <s v="Travis Scott"/>
        <s v="Ariana Grande"/>
        <s v="Lady Gaga &amp; Bruno Mars"/>
        <s v="Justin Bieber"/>
        <s v="One Direction"/>
        <s v="Panic! At The Disco"/>
        <s v="Vance Joy"/>
        <s v="KALEO"/>
        <s v="Conan Gray"/>
        <s v="24kGoldn ft. iann dior"/>
        <s v="Halsey"/>
        <s v="The Chainsmokers &amp; Coldplay"/>
        <s v="SAINt JHN"/>
        <s v="JVKE"/>
        <s v="Sia"/>
        <s v="GAYLE"/>
        <s v="Nicky Youre &amp; Dazy"/>
        <s v="Benson Boone"/>
        <s v="Elley Duhé"/>
        <s v="Jawsh 685 &amp; Jason Derulo"/>
        <s v="ROSE &amp; Bruno Mars"/>
        <s v="My Chemical Romance"/>
        <s v="Goo Goo Dolls"/>
        <s v="Masked Wolf"/>
        <s v="Beyoncé ft. Post Malone"/>
        <s v="Teddy Swims"/>
        <s v="Hozier"/>
        <s v="Duncan Laurence"/>
        <s v="Wiz Khalifa ft. Charlie Puth"/>
        <s v="Charlie Puth"/>
        <s v="Doja Cat ft. SZA"/>
        <s v="Djo"/>
        <s v="Lorde"/>
        <s v="Fools Garden"/>
        <s v="Muse"/>
        <s v="Cyril &amp; Violet Skies"/>
        <s v="Silk City &amp; Dua Lipa"/>
        <s v="The Weeknd &amp; Rosalía"/>
        <s v="Peachy feat. mxmtoon"/>
        <s v="Drake ft. Lil Durk"/>
      </sharedItems>
    </cacheField>
    <cacheField name="primary_genre" numFmtId="0">
      <sharedItems count="39">
        <s v="Synth-Pop"/>
        <s v="Pop/Dancehall"/>
        <s v="Pop"/>
        <s v="Hip-Hop/Pop"/>
        <s v="Afrobeats/Pop"/>
        <s v="Alt Rock"/>
        <s v="Hip-Hop"/>
        <s v="EDM/Pop"/>
        <s v="Latin Pop"/>
        <s v="Indie Pop"/>
        <s v="Pop/Folk"/>
        <s v="Nu-Disco"/>
        <s v="Electropop"/>
        <s v="Pop Rap"/>
        <s v="Pop/Country"/>
        <s v="Pop/Funk"/>
        <s v="Pop Rock"/>
        <s v="Emo Rap"/>
        <s v="R&amp;B"/>
        <s v="Funk/Pop"/>
        <s v="Indie Rock"/>
        <s v="Reggaeton"/>
        <s v="Pop/Soul"/>
        <s v="Grunge"/>
        <s v="Art Pop"/>
        <s v="Pop Punk"/>
        <s v="Holiday Pop"/>
        <s v="Trap Pop"/>
        <s v="R&amp;B/Pop"/>
        <s v="Indie Folk"/>
        <s v="Blues Rock"/>
        <s v="Folk Pop"/>
        <s v="Acoustic Pop"/>
        <s v="Soul/R&amp;B"/>
        <s v="K-Pop/Pop"/>
        <s v="Country/Pop"/>
        <s v="R&amp;B/Soul"/>
        <s v="Art Rock"/>
        <s v="Pop/R&amp;B"/>
      </sharedItems>
    </cacheField>
    <cacheField name="artist_country" numFmtId="0">
      <sharedItems count="17">
        <s v="Canada"/>
        <s v="UK"/>
        <s v="USA"/>
        <s v="Australia"/>
        <s v="USA/UK"/>
        <s v="Canada/Cuba"/>
        <s v="South Korea"/>
        <s v="Nigeria/USA"/>
        <s v="Puerto Rico"/>
        <s v="Cuba/USA"/>
        <s v="Iceland"/>
        <s v="NZ/USA"/>
        <s v="Ireland"/>
        <s v="Netherlands"/>
        <s v="New Zealand"/>
        <s v="Germany"/>
        <s v="Canada/Spain"/>
      </sharedItems>
    </cacheField>
    <cacheField name="release_year" numFmtId="0">
      <sharedItems containsSemiMixedTypes="0" containsString="0" containsNumber="1" containsInteger="1" minValue="1985" maxValue="2024" count="22">
        <n v="2019"/>
        <n v="2017"/>
        <n v="2018"/>
        <n v="2016"/>
        <n v="2021"/>
        <n v="2020"/>
        <n v="2022"/>
        <n v="2023"/>
        <n v="2013"/>
        <n v="2014"/>
        <n v="2002"/>
        <n v="2003"/>
        <n v="1991"/>
        <n v="2024"/>
        <n v="2012"/>
        <n v="1985"/>
        <n v="1994"/>
        <n v="2015"/>
        <n v="2006"/>
        <n v="1998"/>
        <n v="1996"/>
        <n v="2001"/>
      </sharedItems>
    </cacheField>
    <cacheField name="dataset_part" numFmtId="0">
      <sharedItems/>
    </cacheField>
    <cacheField name="total_streams_billions" numFmtId="0">
      <sharedItems containsSemiMixedTypes="0" containsString="0" containsNumber="1" minValue="1.3999999761581421" maxValue="5.2600002288818359"/>
    </cacheField>
    <cacheField name="bpm" numFmtId="0">
      <sharedItems containsSemiMixedTypes="0" containsString="0" containsNumber="1" containsInteger="1" minValue="62" maxValue="191"/>
    </cacheField>
    <cacheField name="danceability" numFmtId="0">
      <sharedItems containsSemiMixedTypes="0" containsString="0" containsNumber="1" minValue="0.30000001192092896" maxValue="0.89999997615814209"/>
    </cacheField>
    <cacheField name="energy" numFmtId="0">
      <sharedItems containsSemiMixedTypes="0" containsString="0" containsNumber="1" minValue="0.25999999046325684" maxValue="0.95999997854232788"/>
    </cacheField>
    <cacheField name="valence" numFmtId="0">
      <sharedItems containsSemiMixedTypes="0" containsString="0" containsNumber="1" minValue="7.0000000298023224E-2" maxValue="0.95999997854232788"/>
    </cacheField>
    <cacheField name="acousticness" numFmtId="0">
      <sharedItems containsSemiMixedTypes="0" containsString="0" containsNumber="1" minValue="0" maxValue="0.75999999046325684"/>
    </cacheField>
    <cacheField name="years_since_release" numFmtId="0">
      <sharedItems containsSemiMixedTypes="0" containsString="0" containsNumber="1" containsInteger="1" minValue="2" maxValue="41"/>
    </cacheField>
    <cacheField name="streams_per_year_index" numFmtId="0">
      <sharedItems containsSemiMixedTypes="0" containsString="0" containsNumber="1" minValue="3.5999999999999997E-2" maxValue="0.79"/>
    </cacheField>
    <cacheField name="song_vibe_category" numFmtId="0">
      <sharedItems count="3">
        <s v="Balanced"/>
        <s v="Chill/Acoustic"/>
        <s v="High Energy Dance"/>
      </sharedItems>
    </cacheField>
  </cacheFields>
  <extLst>
    <ext xmlns:x14="http://schemas.microsoft.com/office/spreadsheetml/2009/9/main" uri="{725AE2AE-9491-48be-B2B4-4EB974FC3084}">
      <x14:pivotCacheDefinition pivotCacheId="15927567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us" refreshedDate="46111.530461921298" createdVersion="8" refreshedVersion="8" minRefreshableVersion="3" recordCount="50" xr:uid="{C75D4DC5-2242-4DDC-95C9-A1C4E24E1D65}">
  <cacheSource type="worksheet">
    <worksheetSource name="Query2"/>
  </cacheSource>
  <cacheFields count="12">
    <cacheField name="artist_name" numFmtId="0">
      <sharedItems count="49">
        <s v="The Weeknd"/>
        <s v="Taylor Swift"/>
        <s v="Drake"/>
        <s v="Bad Bunny"/>
        <s v="Sabrina Carpenter"/>
        <s v="Billie Eilish"/>
        <s v="Ed Sheeran"/>
        <s v="Ariana Grande"/>
        <s v="Kendrick Lamar"/>
        <s v="Harry Styles"/>
        <s v="Post Malone"/>
        <s v="BTS"/>
        <s v="Olivia Rodrigo"/>
        <s v="KAROL G"/>
        <s v="Dua Lipa"/>
        <s v="Lady Gaga"/>
        <s v="Bruno Mars"/>
        <s v="Chappell Roan"/>
        <s v="SZA"/>
        <s v="Morgan Wallen"/>
        <s v="Imagine Dragons"/>
        <s v="Eminem"/>
        <s v="Miley Cyrus"/>
        <s v="Doja Cat"/>
        <s v="ROSE"/>
        <s v="Beyoncé"/>
        <s v="Tyla"/>
        <s v="Shaboozey"/>
        <s v="Coldplay"/>
        <s v="Justin Bieber"/>
        <s v="Peso Pluma"/>
        <s v="Lana Del Rey"/>
        <s v="Gracie Abrams"/>
        <s v="Tate McRae"/>
        <s v="Hozier"/>
        <s v="Benson Boone"/>
        <s v="Teddy Swims"/>
        <s v="Noah Kahan"/>
        <s v="Djo"/>
        <s v="Jimin (BTS)"/>
        <s v="Laufey"/>
        <s v="Jack Harlow"/>
        <s v="Rema"/>
        <s v="NewJeans"/>
        <s v="Kali Uchis"/>
        <s v="Tommy Richman"/>
        <s v="Chayanne"/>
        <s v="Zach Bryan"/>
        <s v="Ice Spice"/>
      </sharedItems>
    </cacheField>
    <cacheField name="primary_genre" numFmtId="0">
      <sharedItems count="30">
        <s v="R&amp;B/Pop"/>
        <s v="Pop/Country"/>
        <s v="Hip-Hop"/>
        <s v="Reggaeton"/>
        <s v="Pop"/>
        <s v="Indie Pop"/>
        <s v="Pop/Folk"/>
        <s v="Pop/R&amp;B"/>
        <s v="Hip-Hop/Pop"/>
        <s v="K-Pop"/>
        <s v="Pop/Indie"/>
        <s v="Pop/Dance"/>
        <s v="Synth-Pop"/>
        <s v="R&amp;B"/>
        <s v="Country"/>
        <s v="Alt Rock"/>
        <s v="Pop/Hip-Hop"/>
        <s v="K-Pop/Pop"/>
        <s v="R&amp;B/Country"/>
        <s v="Afrobeats"/>
        <s v="Country/Hip-Hop"/>
        <s v="Regional Mexican"/>
        <s v="Indie Folk"/>
        <s v="Pop Rock"/>
        <s v="R&amp;B/Soul"/>
        <s v="Indie Rock"/>
        <s v="Jazz/Indie Pop"/>
        <s v="R&amp;B/Latin"/>
        <s v="Latin Pop"/>
        <s v="Country/Folk"/>
      </sharedItems>
    </cacheField>
    <cacheField name="country" numFmtId="0">
      <sharedItems count="12">
        <s v="Canada"/>
        <s v="USA"/>
        <s v="Puerto Rico"/>
        <s v="UK"/>
        <s v="South Korea"/>
        <s v="Colombia"/>
        <s v="South Africa"/>
        <s v="Mexico"/>
        <s v="Ireland"/>
        <s v="Iceland"/>
        <s v="Nigeria"/>
        <s v="Colombia/USA"/>
      </sharedItems>
    </cacheField>
    <cacheField name="gender" numFmtId="0">
      <sharedItems count="3">
        <s v="Male"/>
        <s v="Female"/>
        <s v="Group"/>
      </sharedItems>
    </cacheField>
    <cacheField name="top_2025_song" numFmtId="0">
      <sharedItems/>
    </cacheField>
    <cacheField name="monthly_listeners" numFmtId="0">
      <sharedItems containsSemiMixedTypes="0" containsString="0" containsNumber="1" minValue="27.600000381469727" maxValue="110.40000152587891" count="50">
        <n v="110.40000152587891"/>
        <n v="107.5"/>
        <n v="88.599998474121094"/>
        <n v="84.199996948242188"/>
        <n v="82.099998474121094"/>
        <n v="78.5"/>
        <n v="76.300003051757813"/>
        <n v="72.800003051757813"/>
        <n v="71.5"/>
        <n v="70.199996948242188"/>
        <n v="68.699996948242188"/>
        <n v="66.400001525878906"/>
        <n v="64.800003051757813"/>
        <n v="63.5"/>
        <n v="62.099998474121094"/>
        <n v="60.799999237060547"/>
        <n v="59.400001525878906"/>
        <n v="58.200000762939453"/>
        <n v="57.799999237060547"/>
        <n v="56.299999237060547"/>
        <n v="55.099998474121094"/>
        <n v="54.799999237060547"/>
        <n v="53.400001525878906"/>
        <n v="52.700000762939453"/>
        <n v="51.799999237060547"/>
        <n v="50.900001525878906"/>
        <n v="49.700000762939453"/>
        <n v="48.5"/>
        <n v="47.799999237060547"/>
        <n v="46.5"/>
        <n v="45.799999237060547"/>
        <n v="44.599998474121094"/>
        <n v="43.700000762939453"/>
        <n v="42.900001525878906"/>
        <n v="42.099998474121094"/>
        <n v="41.400001525878906"/>
        <n v="40.799999237060547"/>
        <n v="39.900001525878906"/>
        <n v="38.700000762939453"/>
        <n v="37.799999237060547"/>
        <n v="36.900001525878906"/>
        <n v="35.799999237060547"/>
        <n v="34.700000762939453"/>
        <n v="33.799999237060547"/>
        <n v="32.900001525878906"/>
        <n v="31.799999237060547"/>
        <n v="29.799999237060547"/>
        <n v="28.700000762939453"/>
        <n v="27.899999618530273"/>
        <n v="27.600000381469727"/>
      </sharedItems>
    </cacheField>
    <cacheField name="followers_millions" numFmtId="0">
      <sharedItems containsSemiMixedTypes="0" containsString="0" containsNumber="1" containsInteger="1" minValue="12" maxValue="115"/>
    </cacheField>
    <cacheField name="grammy_wins" numFmtId="0">
      <sharedItems containsSemiMixedTypes="0" containsString="0" containsNumber="1" containsInteger="1" minValue="0" maxValue="32"/>
    </cacheField>
    <cacheField name="debut_year" numFmtId="0">
      <sharedItems containsSemiMixedTypes="0" containsString="0" containsNumber="1" containsInteger="1" minValue="1984" maxValue="2023"/>
    </cacheField>
    <cacheField name="loyalty_ratio" numFmtId="0">
      <sharedItems containsSemiMixedTypes="0" containsString="0" containsNumber="1" minValue="37.73584996195499" maxValue="206.45161290322579"/>
    </cacheField>
    <cacheField name="award_status" numFmtId="0">
      <sharedItems count="2">
        <s v="Awarded Artist"/>
        <s v="Rising/Mainstream"/>
      </sharedItems>
    </cacheField>
    <cacheField name="years_in_industry" numFmtId="0">
      <sharedItems containsSemiMixedTypes="0" containsString="0" containsNumber="1" containsInteger="1" minValue="3" maxValue="42" count="21">
        <n v="16"/>
        <n v="20"/>
        <n v="10"/>
        <n v="11"/>
        <n v="15"/>
        <n v="13"/>
        <n v="23"/>
        <n v="5"/>
        <n v="9"/>
        <n v="18"/>
        <n v="14"/>
        <n v="8"/>
        <n v="17"/>
        <n v="30"/>
        <n v="3"/>
        <n v="4"/>
        <n v="29"/>
        <n v="6"/>
        <n v="12"/>
        <n v="7"/>
        <n v="42"/>
      </sharedItems>
    </cacheField>
  </cacheFields>
  <extLst>
    <ext xmlns:x14="http://schemas.microsoft.com/office/spreadsheetml/2009/9/main" uri="{725AE2AE-9491-48be-B2B4-4EB974FC3084}">
      <x14:pivotCacheDefinition pivotCacheId="14465631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us" refreshedDate="46111.617831365744" createdVersion="8" refreshedVersion="8" minRefreshableVersion="3" recordCount="50" xr:uid="{DA8FD2EB-794A-41F9-B409-F20293F219B8}">
  <cacheSource type="worksheet">
    <worksheetSource name="Query3"/>
  </cacheSource>
  <cacheFields count="14">
    <cacheField name="song_title" numFmtId="0">
      <sharedItems count="50">
        <s v="Die With A Smile"/>
        <s v="APT."/>
        <s v="Espresso"/>
        <s v="Please Please Please"/>
        <s v="Taste"/>
        <s v="Birds Of A Feather"/>
        <s v="Not Like Us"/>
        <s v="Good Luck, Babe!"/>
        <s v="Beautiful Things"/>
        <s v="Lose Control"/>
        <s v="Too Sweet"/>
        <s v="Lunch"/>
        <s v="Boom Boom Boom Boom"/>
        <s v="Million Dollar Baby"/>
        <s v="Sticky"/>
        <s v="A Bar Song (Tipsy)"/>
        <s v="I Had Some Help"/>
        <s v="Flowers"/>
        <s v="Cruel Summer"/>
        <s v="Fortnight"/>
        <s v="Levii's Jeans"/>
        <s v="Texas Hold 'Em"/>
        <s v="Gata Only"/>
        <s v="Tusa"/>
        <s v="Lovin On Me"/>
        <s v="Baile Inolvidable"/>
        <s v="LTME Post"/>
        <s v="Bed Chem"/>
        <s v="Exes"/>
        <s v="Jump"/>
        <s v="Water"/>
        <s v="I Can Do It With A Broken Heart"/>
        <s v="luther"/>
        <s v="WILDFLOWER"/>
        <s v="Pink Pony Club"/>
        <s v="Femininomenon"/>
        <s v="End Of Beginning"/>
        <s v="Like That"/>
        <s v="we can't be friends"/>
        <s v="Vampire"/>
        <s v="Stumblin' In"/>
        <s v="Yellow"/>
        <s v="Pretty Girl"/>
        <s v="Running Up That Hill"/>
        <s v="good 4 u"/>
        <s v="Shake It Off"/>
        <s v="Espresso (Remix)"/>
        <s v="That's So True"/>
        <s v="Bodyguard"/>
        <s v="Azizam"/>
      </sharedItems>
    </cacheField>
    <cacheField name="artist" numFmtId="0">
      <sharedItems/>
    </cacheField>
    <cacheField name="primary_genre" numFmtId="0">
      <sharedItems count="23">
        <s v="Pop"/>
        <s v="K-Pop/Pop"/>
        <s v="Indie Pop"/>
        <s v="Hip-Hop"/>
        <s v="Pop Rock"/>
        <s v="R&amp;B/Soul"/>
        <s v="Indie Folk"/>
        <s v="R&amp;B/Pop"/>
        <s v="Country/Hip-Hop"/>
        <s v="Country"/>
        <s v="Country/Pop"/>
        <s v="Synth-Pop"/>
        <s v="Reggaeton"/>
        <s v="Hip-Hop/Pop"/>
        <s v="Latin Pop"/>
        <s v="Afrobeats"/>
        <s v="Hip-Hop/R&amp;B"/>
        <s v="Indie Rock"/>
        <s v="Alternative"/>
        <s v="Art Pop"/>
        <s v="Pop Punk"/>
        <s v="Pop/K-Pop"/>
        <s v="Pop/Folk"/>
      </sharedItems>
    </cacheField>
    <cacheField name="artist_country" numFmtId="0">
      <sharedItems/>
    </cacheField>
    <cacheField name="explicit" numFmtId="0">
      <sharedItems count="2">
        <b v="0"/>
        <b v="1"/>
      </sharedItems>
    </cacheField>
    <cacheField name="streams_2025_billions" numFmtId="0">
      <sharedItems containsSemiMixedTypes="0" containsString="0" containsNumber="1" minValue="0.56000000238418579" maxValue="1.7000000476837158"/>
    </cacheField>
    <cacheField name="bpm" numFmtId="0">
      <sharedItems containsSemiMixedTypes="0" containsString="0" containsNumber="1" containsInteger="1" minValue="72" maxValue="170"/>
    </cacheField>
    <cacheField name="duration_seconds" numFmtId="0">
      <sharedItems containsSemiMixedTypes="0" containsString="0" containsNumber="1" containsInteger="1" minValue="138" maxValue="301"/>
    </cacheField>
    <cacheField name="peak_global_chart_position" numFmtId="0">
      <sharedItems containsSemiMixedTypes="0" containsString="0" containsNumber="1" containsInteger="1" minValue="1" maxValue="22"/>
    </cacheField>
    <cacheField name="danceability" numFmtId="0">
      <sharedItems containsSemiMixedTypes="0" containsString="0" containsNumber="1" minValue="0.40999999642372131" maxValue="0.86000001430511475"/>
    </cacheField>
    <cacheField name="energy" numFmtId="0">
      <sharedItems containsSemiMixedTypes="0" containsString="0" containsNumber="1" minValue="0.40000000596046448" maxValue="0.89999997615814209"/>
    </cacheField>
    <cacheField name="duration_minutes" numFmtId="0">
      <sharedItems containsSemiMixedTypes="0" containsString="0" containsNumber="1" minValue="2.2999999999999998" maxValue="5.0199999999999996" count="37">
        <n v="4.18"/>
        <n v="2.88"/>
        <n v="2.92"/>
        <n v="3.1"/>
        <n v="2.95"/>
        <n v="3.5"/>
        <n v="4.57"/>
        <n v="3.65"/>
        <n v="3.52"/>
        <n v="3.37"/>
        <n v="3.93"/>
        <n v="2.87"/>
        <n v="3.03"/>
        <n v="2.2999999999999998"/>
        <n v="3.18"/>
        <n v="3.73"/>
        <n v="3.2"/>
        <n v="3.33"/>
        <n v="2.97"/>
        <n v="3.8"/>
        <n v="4.2300000000000004"/>
        <n v="3.97"/>
        <n v="2.75"/>
        <n v="2.78"/>
        <n v="3.23"/>
        <n v="2.67"/>
        <n v="3.55"/>
        <n v="4.03"/>
        <n v="3.15"/>
        <n v="3.27"/>
        <n v="4.75"/>
        <n v="3.63"/>
        <n v="3.07"/>
        <n v="4.4800000000000004"/>
        <n v="2.73"/>
        <n v="5.0199999999999996"/>
        <n v="3.08"/>
      </sharedItems>
      <fieldGroup base="11">
        <rangePr autoStart="0" autoEnd="0" startNum="2" endNum="3"/>
        <groupItems count="3">
          <s v="&lt;2"/>
          <s v="2-3"/>
          <s v="&gt;3"/>
        </groupItems>
      </fieldGroup>
    </cacheField>
    <cacheField name="chart_performance_level" numFmtId="0">
      <sharedItems count="2">
        <s v="Global Hit"/>
        <s v="Top 50"/>
      </sharedItems>
    </cacheField>
    <cacheField name="streams_in_millions" numFmtId="0">
      <sharedItems containsSemiMixedTypes="0" containsString="0" containsNumber="1" minValue="560.00000238418579" maxValue="1700.0000476837158"/>
    </cacheField>
  </cacheFields>
  <extLst>
    <ext xmlns:x14="http://schemas.microsoft.com/office/spreadsheetml/2009/9/main" uri="{725AE2AE-9491-48be-B2B4-4EB974FC3084}">
      <x14:pivotCacheDefinition pivotCacheId="1310014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s v="Spotify All-Time Most Streamed Top 100"/>
    <n v="5.2600002288818359"/>
    <n v="171"/>
    <n v="0.50999999046325684"/>
    <n v="0.80000001192092896"/>
    <n v="0.33000001311302185"/>
    <n v="0"/>
    <n v="7"/>
    <n v="0.65800000000000003"/>
    <x v="0"/>
  </r>
  <r>
    <x v="1"/>
    <x v="1"/>
    <x v="1"/>
    <x v="1"/>
    <x v="1"/>
    <s v="Spotify All-Time Most Streamed Top 100"/>
    <n v="4.9000000953674316"/>
    <n v="96"/>
    <n v="0.82999998331069946"/>
    <n v="0.64999997615814209"/>
    <n v="0.93000000715255737"/>
    <n v="7.9999998211860657E-2"/>
    <n v="9"/>
    <n v="0.49"/>
    <x v="0"/>
  </r>
  <r>
    <x v="2"/>
    <x v="2"/>
    <x v="2"/>
    <x v="1"/>
    <x v="2"/>
    <s v="Spotify All-Time Most Streamed Top 100"/>
    <n v="4.0500001907348633"/>
    <n v="77"/>
    <n v="0.60000002384185791"/>
    <n v="0.44999998807907104"/>
    <n v="0.41999998688697815"/>
    <n v="0.28999999165534973"/>
    <n v="8"/>
    <n v="0.45"/>
    <x v="0"/>
  </r>
  <r>
    <x v="3"/>
    <x v="3"/>
    <x v="3"/>
    <x v="2"/>
    <x v="2"/>
    <s v="Spotify All-Time Most Streamed Top 100"/>
    <n v="3.9800000190734863"/>
    <n v="93"/>
    <n v="0.75999999046325684"/>
    <n v="0.49000000953674316"/>
    <n v="0.8399999737739563"/>
    <n v="0.15000000596046448"/>
    <n v="8"/>
    <n v="0.442"/>
    <x v="0"/>
  </r>
  <r>
    <x v="4"/>
    <x v="4"/>
    <x v="4"/>
    <x v="0"/>
    <x v="3"/>
    <s v="Spotify All-Time Most Streamed Top 100"/>
    <n v="3.9200000762939453"/>
    <n v="100"/>
    <n v="0.79000002145767212"/>
    <n v="0.62000000476837158"/>
    <n v="0.68000000715255737"/>
    <n v="9.0000003576278687E-2"/>
    <n v="10"/>
    <n v="0.35599999999999998"/>
    <x v="0"/>
  </r>
  <r>
    <x v="5"/>
    <x v="5"/>
    <x v="2"/>
    <x v="3"/>
    <x v="4"/>
    <s v="Spotify All-Time Most Streamed Top 100"/>
    <n v="3.869999885559082"/>
    <n v="170"/>
    <n v="0.5899999737739563"/>
    <n v="0.80000001192092896"/>
    <n v="0.60000002384185791"/>
    <n v="0"/>
    <n v="5"/>
    <n v="0.64500000000000002"/>
    <x v="0"/>
  </r>
  <r>
    <x v="6"/>
    <x v="6"/>
    <x v="5"/>
    <x v="2"/>
    <x v="1"/>
    <s v="Spotify All-Time Most Streamed Top 100"/>
    <n v="3.7599999904632568"/>
    <n v="125"/>
    <n v="0.33000001311302185"/>
    <n v="0.86000001430511475"/>
    <n v="0.44999998807907104"/>
    <n v="7.0000000298023224E-2"/>
    <n v="9"/>
    <n v="0.376"/>
    <x v="0"/>
  </r>
  <r>
    <x v="7"/>
    <x v="7"/>
    <x v="6"/>
    <x v="2"/>
    <x v="1"/>
    <s v="Spotify All-Time Most Streamed Top 100"/>
    <n v="3.7200000286102295"/>
    <n v="159"/>
    <n v="0.55000001192092896"/>
    <n v="0.51999998092651367"/>
    <n v="0.12999999523162842"/>
    <n v="7.9999998211860657E-2"/>
    <n v="9"/>
    <n v="0.372"/>
    <x v="0"/>
  </r>
  <r>
    <x v="8"/>
    <x v="8"/>
    <x v="2"/>
    <x v="3"/>
    <x v="0"/>
    <s v="Spotify All-Time Most Streamed Top 100"/>
    <n v="3.690000057220459"/>
    <n v="98"/>
    <n v="0.82999998331069946"/>
    <n v="0.62999999523162842"/>
    <n v="0.73000001907348633"/>
    <n v="0.14000000059604645"/>
    <n v="7"/>
    <n v="0.46100000000000002"/>
    <x v="0"/>
  </r>
  <r>
    <x v="9"/>
    <x v="9"/>
    <x v="7"/>
    <x v="4"/>
    <x v="2"/>
    <s v="Spotify All-Time Most Streamed Top 100"/>
    <n v="3.6500000953674316"/>
    <n v="100"/>
    <n v="0.62000000476837158"/>
    <n v="0.81999999284744263"/>
    <n v="0.95999997854232788"/>
    <n v="1.9999999552965164E-2"/>
    <n v="8"/>
    <n v="0.40600000000000003"/>
    <x v="0"/>
  </r>
  <r>
    <x v="10"/>
    <x v="10"/>
    <x v="8"/>
    <x v="5"/>
    <x v="0"/>
    <s v="Spotify All-Time Most Streamed Top 100"/>
    <n v="3.619999885559082"/>
    <n v="117"/>
    <n v="0.75"/>
    <n v="0.74000000953674316"/>
    <n v="0.75"/>
    <n v="0.14000000059604645"/>
    <n v="7"/>
    <n v="0.45200000000000001"/>
    <x v="0"/>
  </r>
  <r>
    <x v="11"/>
    <x v="11"/>
    <x v="9"/>
    <x v="1"/>
    <x v="0"/>
    <s v="Spotify All-Time Most Streamed Top 100"/>
    <n v="3.5799999237060547"/>
    <n v="95"/>
    <n v="0.55000001192092896"/>
    <n v="0.81999999284744263"/>
    <n v="0.74000000953674316"/>
    <n v="0.11999999731779099"/>
    <n v="7"/>
    <n v="0.44700000000000001"/>
    <x v="0"/>
  </r>
  <r>
    <x v="12"/>
    <x v="1"/>
    <x v="10"/>
    <x v="1"/>
    <x v="1"/>
    <s v="Spotify All-Time Most Streamed Top 100"/>
    <n v="3.5499999523162842"/>
    <n v="95"/>
    <n v="0.6600000262260437"/>
    <n v="0.43000000715255737"/>
    <n v="0.40999999642372131"/>
    <n v="0.37000000476837158"/>
    <n v="9"/>
    <n v="0.35499999999999998"/>
    <x v="0"/>
  </r>
  <r>
    <x v="13"/>
    <x v="12"/>
    <x v="11"/>
    <x v="1"/>
    <x v="5"/>
    <s v="Spotify All-Time Most Streamed Top 100"/>
    <n v="3.5199999809265137"/>
    <n v="103"/>
    <n v="0.69999998807907104"/>
    <n v="0.81999999284744263"/>
    <n v="0.9100000262260437"/>
    <n v="0"/>
    <n v="6"/>
    <n v="0.503"/>
    <x v="0"/>
  </r>
  <r>
    <x v="14"/>
    <x v="13"/>
    <x v="9"/>
    <x v="1"/>
    <x v="5"/>
    <s v="Spotify All-Time Most Streamed Top 100"/>
    <n v="3.4000000953674316"/>
    <n v="80"/>
    <n v="0.50999999046325684"/>
    <n v="0.54000002145767212"/>
    <n v="0.57999998331069946"/>
    <n v="0.2199999988079071"/>
    <n v="6"/>
    <n v="0.48599999999999999"/>
    <x v="0"/>
  </r>
  <r>
    <x v="15"/>
    <x v="14"/>
    <x v="12"/>
    <x v="2"/>
    <x v="0"/>
    <s v="Spotify All-Time Most Streamed Top 100"/>
    <n v="3.369999885559082"/>
    <n v="135"/>
    <n v="0.69999998807907104"/>
    <n v="0.43000000715255737"/>
    <n v="0.56000000238418579"/>
    <n v="0"/>
    <n v="7"/>
    <n v="0.42099999999999999"/>
    <x v="0"/>
  </r>
  <r>
    <x v="16"/>
    <x v="15"/>
    <x v="2"/>
    <x v="2"/>
    <x v="4"/>
    <s v="Spotify All-Time Most Streamed Top 100"/>
    <n v="3.3399999141693115"/>
    <n v="73"/>
    <n v="0.5899999737739563"/>
    <n v="0.43000000715255737"/>
    <n v="0.12999999523162842"/>
    <n v="0.2800000011920929"/>
    <n v="5"/>
    <n v="0.55700000000000005"/>
    <x v="0"/>
  </r>
  <r>
    <x v="17"/>
    <x v="16"/>
    <x v="13"/>
    <x v="2"/>
    <x v="0"/>
    <s v="Spotify All-Time Most Streamed Top 100"/>
    <n v="3.309999942779541"/>
    <n v="121"/>
    <n v="0.68999999761581421"/>
    <n v="0.55000001192092896"/>
    <n v="0.72000002861022949"/>
    <n v="9.0000003576278687E-2"/>
    <n v="7"/>
    <n v="0.41399999999999998"/>
    <x v="0"/>
  </r>
  <r>
    <x v="18"/>
    <x v="17"/>
    <x v="2"/>
    <x v="2"/>
    <x v="0"/>
    <s v="Spotify All-Time Most Streamed Top 100"/>
    <n v="3.2799999713897705"/>
    <n v="91"/>
    <n v="0.75999999046325684"/>
    <n v="0.36000001430511475"/>
    <n v="0.69999998807907104"/>
    <n v="0.51999998092651367"/>
    <n v="7"/>
    <n v="0.41"/>
    <x v="1"/>
  </r>
  <r>
    <x v="19"/>
    <x v="18"/>
    <x v="14"/>
    <x v="2"/>
    <x v="2"/>
    <s v="Spotify All-Time Most Streamed Top 100"/>
    <n v="3.25"/>
    <n v="96"/>
    <n v="0.5899999737739563"/>
    <n v="0.55000001192092896"/>
    <n v="0.37000000476837158"/>
    <n v="0.2199999988079071"/>
    <n v="8"/>
    <n v="0.36099999999999999"/>
    <x v="0"/>
  </r>
  <r>
    <x v="20"/>
    <x v="11"/>
    <x v="9"/>
    <x v="1"/>
    <x v="6"/>
    <s v="Spotify All-Time Most Streamed Top 100"/>
    <n v="3.2200000286102295"/>
    <n v="174"/>
    <n v="0.51999998092651367"/>
    <n v="0.73000001907348633"/>
    <n v="0.36000001430511475"/>
    <n v="0"/>
    <n v="4"/>
    <n v="0.64400000000000002"/>
    <x v="0"/>
  </r>
  <r>
    <x v="21"/>
    <x v="19"/>
    <x v="15"/>
    <x v="6"/>
    <x v="5"/>
    <s v="Spotify All-Time Most Streamed Top 100"/>
    <n v="3.190000057220459"/>
    <n v="114"/>
    <n v="0.74000000953674316"/>
    <n v="0.76999998092651367"/>
    <n v="0.74000000953674316"/>
    <n v="9.9999997764825821E-3"/>
    <n v="6"/>
    <n v="0.45600000000000002"/>
    <x v="0"/>
  </r>
  <r>
    <x v="22"/>
    <x v="20"/>
    <x v="2"/>
    <x v="2"/>
    <x v="7"/>
    <s v="Spotify All-Time Most Streamed Top 100"/>
    <n v="3.1600000858306885"/>
    <n v="118"/>
    <n v="0.74000000953674316"/>
    <n v="0.74000000953674316"/>
    <n v="0.87999999523162842"/>
    <n v="0.10000000149011612"/>
    <n v="3"/>
    <n v="0.79"/>
    <x v="0"/>
  </r>
  <r>
    <x v="23"/>
    <x v="21"/>
    <x v="16"/>
    <x v="2"/>
    <x v="8"/>
    <s v="Spotify All-Time Most Streamed Top 100"/>
    <n v="3.1400001049041748"/>
    <n v="122"/>
    <n v="0.62000000476837158"/>
    <n v="0.80000001192092896"/>
    <n v="0.57999998331069946"/>
    <n v="0.11999999731779099"/>
    <n v="13"/>
    <n v="0.224"/>
    <x v="0"/>
  </r>
  <r>
    <x v="24"/>
    <x v="22"/>
    <x v="17"/>
    <x v="2"/>
    <x v="2"/>
    <s v="Spotify All-Time Most Streamed Top 100"/>
    <n v="3.1099998950958252"/>
    <n v="84"/>
    <n v="0.50999999046325684"/>
    <n v="0.49000000953674316"/>
    <n v="0.2199999988079071"/>
    <n v="7.0000000298023224E-2"/>
    <n v="8"/>
    <n v="0.34599999999999997"/>
    <x v="0"/>
  </r>
  <r>
    <x v="25"/>
    <x v="23"/>
    <x v="7"/>
    <x v="2"/>
    <x v="3"/>
    <s v="Spotify All-Time Most Streamed Top 100"/>
    <n v="3.0799999237060547"/>
    <n v="95"/>
    <n v="0.74000000953674316"/>
    <n v="0.64999997615814209"/>
    <n v="0.76999998092651367"/>
    <n v="3.9999999105930328E-2"/>
    <n v="10"/>
    <n v="0.28000000000000003"/>
    <x v="0"/>
  </r>
  <r>
    <x v="26"/>
    <x v="24"/>
    <x v="4"/>
    <x v="7"/>
    <x v="6"/>
    <s v="Spotify All-Time Most Streamed Top 100"/>
    <n v="3.0199999809265137"/>
    <n v="106"/>
    <n v="0.80000001192092896"/>
    <n v="0.72000002861022949"/>
    <n v="0.77999997138977051"/>
    <n v="7.9999998211860657E-2"/>
    <n v="4"/>
    <n v="0.60399999999999998"/>
    <x v="0"/>
  </r>
  <r>
    <x v="27"/>
    <x v="25"/>
    <x v="9"/>
    <x v="2"/>
    <x v="6"/>
    <s v="Spotify All-Time Most Streamed Top 100"/>
    <n v="2.9900000095367432"/>
    <n v="97"/>
    <n v="0.63999998569488525"/>
    <n v="0.57999998331069946"/>
    <n v="0.4699999988079071"/>
    <n v="0.10000000149011612"/>
    <n v="4"/>
    <n v="0.59799999999999998"/>
    <x v="0"/>
  </r>
  <r>
    <x v="28"/>
    <x v="0"/>
    <x v="0"/>
    <x v="0"/>
    <x v="5"/>
    <s v="Spotify All-Time Most Streamed Top 100"/>
    <n v="2.880000114440918"/>
    <n v="118"/>
    <n v="0.68000000715255737"/>
    <n v="0.81999999284744263"/>
    <n v="0.77999997138977051"/>
    <n v="9.9999997764825821E-3"/>
    <n v="6"/>
    <n v="0.41099999999999998"/>
    <x v="0"/>
  </r>
  <r>
    <x v="29"/>
    <x v="0"/>
    <x v="18"/>
    <x v="0"/>
    <x v="3"/>
    <s v="Spotify All-Time Most Streamed Top 100"/>
    <n v="2.8599998950958252"/>
    <n v="95"/>
    <n v="0.40000000596046448"/>
    <n v="0.55000001192092896"/>
    <n v="0.31999999284744263"/>
    <n v="3.9999999105930328E-2"/>
    <n v="10"/>
    <n v="0.26"/>
    <x v="0"/>
  </r>
  <r>
    <x v="30"/>
    <x v="26"/>
    <x v="9"/>
    <x v="2"/>
    <x v="2"/>
    <s v="Spotify All-Time Most Streamed Top 100"/>
    <n v="2.8399999141693115"/>
    <n v="95"/>
    <n v="0.34999999403953552"/>
    <n v="0.30000001192092896"/>
    <n v="7.9999998211860657E-2"/>
    <n v="0.5"/>
    <n v="8"/>
    <n v="0.316"/>
    <x v="1"/>
  </r>
  <r>
    <x v="31"/>
    <x v="27"/>
    <x v="19"/>
    <x v="2"/>
    <x v="9"/>
    <s v="Spotify All-Time Most Streamed Top 100"/>
    <n v="2.5299999713897705"/>
    <n v="115"/>
    <n v="0.89999997615814209"/>
    <n v="0.95999997854232788"/>
    <n v="0.81999999284744263"/>
    <n v="1.9999999552965164E-2"/>
    <n v="12"/>
    <n v="0.19500000000000001"/>
    <x v="2"/>
  </r>
  <r>
    <x v="32"/>
    <x v="28"/>
    <x v="20"/>
    <x v="2"/>
    <x v="8"/>
    <s v="Spotify All-Time Most Streamed Top 100"/>
    <n v="2.4700000286102295"/>
    <n v="124"/>
    <n v="0.5899999737739563"/>
    <n v="0.63999998569488525"/>
    <n v="0.5"/>
    <n v="0.25999999046325684"/>
    <n v="13"/>
    <n v="0.17599999999999999"/>
    <x v="0"/>
  </r>
  <r>
    <x v="33"/>
    <x v="25"/>
    <x v="0"/>
    <x v="2"/>
    <x v="0"/>
    <s v="Spotify All-Time Most Streamed Top 100"/>
    <n v="2.7200000286102295"/>
    <n v="170"/>
    <n v="0.55000001192092896"/>
    <n v="0.69999998807907104"/>
    <n v="0.56999999284744263"/>
    <n v="0.11999999731779099"/>
    <n v="7"/>
    <n v="0.34"/>
    <x v="0"/>
  </r>
  <r>
    <x v="34"/>
    <x v="29"/>
    <x v="21"/>
    <x v="8"/>
    <x v="1"/>
    <s v="Spotify All-Time Most Streamed Top 100"/>
    <n v="2.1500000953674316"/>
    <n v="178"/>
    <n v="0.68999999761581421"/>
    <n v="0.81000000238418579"/>
    <n v="0.81000000238418579"/>
    <n v="0.2199999988079071"/>
    <n v="9"/>
    <n v="0.215"/>
    <x v="0"/>
  </r>
  <r>
    <x v="35"/>
    <x v="30"/>
    <x v="8"/>
    <x v="9"/>
    <x v="1"/>
    <s v="Spotify All-Time Most Streamed Top 100"/>
    <n v="2.130000114440918"/>
    <n v="105"/>
    <n v="0.75999999046325684"/>
    <n v="0.57999998331069946"/>
    <n v="0.61000001430511475"/>
    <n v="0.14000000059604645"/>
    <n v="9"/>
    <n v="0.21299999999999999"/>
    <x v="0"/>
  </r>
  <r>
    <x v="36"/>
    <x v="31"/>
    <x v="22"/>
    <x v="1"/>
    <x v="4"/>
    <s v="Spotify All-Time Most Streamed Top 100"/>
    <n v="2.0199999809265137"/>
    <n v="62"/>
    <n v="0.34000000357627869"/>
    <n v="0.25999999046325684"/>
    <n v="0.17000000178813934"/>
    <n v="0.75999999046325684"/>
    <n v="5"/>
    <n v="0.33700000000000002"/>
    <x v="1"/>
  </r>
  <r>
    <x v="37"/>
    <x v="32"/>
    <x v="6"/>
    <x v="2"/>
    <x v="10"/>
    <s v="Spotify All-Time Most Streamed Top 100"/>
    <n v="1.9500000476837158"/>
    <n v="171"/>
    <n v="0.6600000262260437"/>
    <n v="0.62000000476837158"/>
    <n v="0.25999999046325684"/>
    <n v="0"/>
    <n v="24"/>
    <n v="7.8E-2"/>
    <x v="0"/>
  </r>
  <r>
    <x v="38"/>
    <x v="33"/>
    <x v="5"/>
    <x v="2"/>
    <x v="11"/>
    <s v="Spotify All-Time Most Streamed Top 100"/>
    <n v="1.8200000524520874"/>
    <n v="118"/>
    <n v="0.46000000834465027"/>
    <n v="0.89999997615814209"/>
    <n v="0.15000000596046448"/>
    <n v="1.9999999552965164E-2"/>
    <n v="23"/>
    <n v="7.5999999999999998E-2"/>
    <x v="0"/>
  </r>
  <r>
    <x v="39"/>
    <x v="34"/>
    <x v="23"/>
    <x v="2"/>
    <x v="12"/>
    <s v="Spotify All-Time Most Streamed Top 100"/>
    <n v="1.7999999523162842"/>
    <n v="117"/>
    <n v="0.5"/>
    <n v="0.89999997615814209"/>
    <n v="0.43999999761581421"/>
    <n v="0"/>
    <n v="35"/>
    <n v="0.05"/>
    <x v="0"/>
  </r>
  <r>
    <x v="40"/>
    <x v="35"/>
    <x v="2"/>
    <x v="2"/>
    <x v="13"/>
    <s v="Spotify All-Time Most Streamed Top 100"/>
    <n v="1.7599999904632568"/>
    <n v="104"/>
    <n v="0.80000001192092896"/>
    <n v="0.73000001907348633"/>
    <n v="0.95999997854232788"/>
    <n v="5.9999998658895493E-2"/>
    <n v="2"/>
    <n v="0.58699999999999997"/>
    <x v="0"/>
  </r>
  <r>
    <x v="41"/>
    <x v="6"/>
    <x v="5"/>
    <x v="2"/>
    <x v="14"/>
    <s v="Spotify All-Time Most Streamed Top 100"/>
    <n v="1.7400000095367432"/>
    <n v="136"/>
    <n v="0.37999999523162842"/>
    <n v="0.75999999046325684"/>
    <n v="0.23000000417232513"/>
    <n v="0.10000000149011612"/>
    <n v="14"/>
    <n v="0.11600000000000001"/>
    <x v="0"/>
  </r>
  <r>
    <x v="42"/>
    <x v="36"/>
    <x v="24"/>
    <x v="1"/>
    <x v="15"/>
    <s v="Spotify All-Time Most Streamed Top 100"/>
    <n v="1.5199999809265137"/>
    <n v="112"/>
    <n v="0.40999999642372131"/>
    <n v="0.68000000715255737"/>
    <n v="0.25"/>
    <n v="7.9999998211860657E-2"/>
    <n v="41"/>
    <n v="3.5999999999999997E-2"/>
    <x v="0"/>
  </r>
  <r>
    <x v="43"/>
    <x v="37"/>
    <x v="6"/>
    <x v="2"/>
    <x v="13"/>
    <s v="Spotify All-Time Most Streamed Top 100"/>
    <n v="1.5"/>
    <n v="101"/>
    <n v="0.81999999284744263"/>
    <n v="0.72000002861022949"/>
    <n v="0.62000000476837158"/>
    <n v="3.9999999105930328E-2"/>
    <n v="2"/>
    <n v="0.5"/>
    <x v="0"/>
  </r>
  <r>
    <x v="44"/>
    <x v="15"/>
    <x v="25"/>
    <x v="2"/>
    <x v="4"/>
    <s v="Spotify All-Time Most Streamed Top 100"/>
    <n v="1.4800000190734863"/>
    <n v="166"/>
    <n v="0.56000000238418579"/>
    <n v="0.89999997615814209"/>
    <n v="0.64999997615814209"/>
    <n v="0"/>
    <n v="5"/>
    <n v="0.247"/>
    <x v="0"/>
  </r>
  <r>
    <x v="45"/>
    <x v="38"/>
    <x v="26"/>
    <x v="2"/>
    <x v="16"/>
    <s v="Spotify All-Time Most Streamed Top 100"/>
    <n v="2.7599999904632568"/>
    <n v="150"/>
    <n v="0.41999998688697815"/>
    <n v="0.6600000262260437"/>
    <n v="0.77999997138977051"/>
    <n v="0.31999999284744263"/>
    <n v="32"/>
    <n v="8.4000000000000005E-2"/>
    <x v="0"/>
  </r>
  <r>
    <x v="46"/>
    <x v="39"/>
    <x v="0"/>
    <x v="0"/>
    <x v="3"/>
    <s v="Spotify All-Time Most Streamed Top 100"/>
    <n v="2.619999885559082"/>
    <n v="186"/>
    <n v="0.68000000715255737"/>
    <n v="0.79000002145767212"/>
    <n v="0.5"/>
    <n v="0"/>
    <n v="10"/>
    <n v="0.23799999999999999"/>
    <x v="0"/>
  </r>
  <r>
    <x v="47"/>
    <x v="40"/>
    <x v="6"/>
    <x v="2"/>
    <x v="3"/>
    <s v="Spotify All-Time Most Streamed Top 100"/>
    <n v="2.5899999141693115"/>
    <n v="130"/>
    <n v="0.62000000476837158"/>
    <n v="0.68000000715255737"/>
    <n v="0.38999998569488525"/>
    <n v="5.9999998658895493E-2"/>
    <n v="10"/>
    <n v="0.23499999999999999"/>
    <x v="0"/>
  </r>
  <r>
    <x v="48"/>
    <x v="41"/>
    <x v="27"/>
    <x v="2"/>
    <x v="0"/>
    <s v="Spotify All-Time Most Streamed Top 100"/>
    <n v="2.559999942779541"/>
    <n v="140"/>
    <n v="0.63999998569488525"/>
    <n v="0.61000001430511475"/>
    <n v="0.49000000953674316"/>
    <n v="1.9999999552965164E-2"/>
    <n v="7"/>
    <n v="0.32"/>
    <x v="0"/>
  </r>
  <r>
    <x v="49"/>
    <x v="42"/>
    <x v="2"/>
    <x v="2"/>
    <x v="13"/>
    <s v="Spotify All-Time Most Streamed Top 100"/>
    <n v="1.8400000333786011"/>
    <n v="120"/>
    <n v="0.72000002861022949"/>
    <n v="0.68000000715255737"/>
    <n v="0.55000001192092896"/>
    <n v="0.18000000715255737"/>
    <n v="2"/>
    <n v="0.61299999999999999"/>
    <x v="0"/>
  </r>
  <r>
    <x v="50"/>
    <x v="43"/>
    <x v="28"/>
    <x v="0"/>
    <x v="4"/>
    <s v="Spotify All-Time Most Streamed Top 100"/>
    <n v="1.6000000238418579"/>
    <n v="90"/>
    <n v="0.68000000715255737"/>
    <n v="0.51999998092651367"/>
    <n v="0.68999999761581421"/>
    <n v="0.15999999642372131"/>
    <n v="5"/>
    <n v="0.26700000000000002"/>
    <x v="0"/>
  </r>
  <r>
    <x v="51"/>
    <x v="11"/>
    <x v="16"/>
    <x v="1"/>
    <x v="0"/>
    <s v="Spotify All-Time Most Streamed Top 100"/>
    <n v="2.4000000953674316"/>
    <n v="88"/>
    <n v="0.43000000715255737"/>
    <n v="0.43000000715255737"/>
    <n v="7.0000000298023224E-2"/>
    <n v="0.37999999523162842"/>
    <n v="7"/>
    <n v="0.3"/>
    <x v="0"/>
  </r>
  <r>
    <x v="52"/>
    <x v="6"/>
    <x v="5"/>
    <x v="2"/>
    <x v="1"/>
    <s v="Spotify All-Time Most Streamed Top 100"/>
    <n v="3.4900000095367432"/>
    <n v="168"/>
    <n v="0.60000002384185791"/>
    <n v="0.51999998092651367"/>
    <n v="0.55000001192092896"/>
    <n v="9.9999997764825821E-3"/>
    <n v="9"/>
    <n v="0.34899999999999998"/>
    <x v="0"/>
  </r>
  <r>
    <x v="53"/>
    <x v="1"/>
    <x v="0"/>
    <x v="1"/>
    <x v="4"/>
    <s v="Spotify All-Time Most Streamed Top 100"/>
    <n v="1.6200000047683716"/>
    <n v="126"/>
    <n v="0.68000000715255737"/>
    <n v="0.82999998331069946"/>
    <n v="0.72000002861022949"/>
    <n v="0"/>
    <n v="5"/>
    <n v="0.27"/>
    <x v="0"/>
  </r>
  <r>
    <x v="54"/>
    <x v="19"/>
    <x v="19"/>
    <x v="6"/>
    <x v="4"/>
    <s v="Spotify All-Time Most Streamed Top 100"/>
    <n v="1.6000000238418579"/>
    <n v="110"/>
    <n v="0.79000002145767212"/>
    <n v="0.73000001907348633"/>
    <n v="0.74000000953674316"/>
    <n v="9.9999997764825821E-3"/>
    <n v="5"/>
    <n v="0.26700000000000002"/>
    <x v="0"/>
  </r>
  <r>
    <x v="55"/>
    <x v="44"/>
    <x v="2"/>
    <x v="1"/>
    <x v="9"/>
    <s v="Spotify All-Time Most Streamed Top 100"/>
    <n v="2.3399999141693115"/>
    <n v="82"/>
    <n v="0.56000000238418579"/>
    <n v="0.54000002145767212"/>
    <n v="0.72000002861022949"/>
    <n v="0.30000001192092896"/>
    <n v="12"/>
    <n v="0.18"/>
    <x v="0"/>
  </r>
  <r>
    <x v="56"/>
    <x v="45"/>
    <x v="16"/>
    <x v="2"/>
    <x v="2"/>
    <s v="Spotify All-Time Most Streamed Top 100"/>
    <n v="2.3199999332427979"/>
    <n v="191"/>
    <n v="0.6600000262260437"/>
    <n v="0.82999998331069946"/>
    <n v="0.8399999737739563"/>
    <n v="3.9999999105930328E-2"/>
    <n v="8"/>
    <n v="0.25800000000000001"/>
    <x v="0"/>
  </r>
  <r>
    <x v="57"/>
    <x v="46"/>
    <x v="29"/>
    <x v="3"/>
    <x v="8"/>
    <s v="Spotify All-Time Most Streamed Top 100"/>
    <n v="2.5"/>
    <n v="131"/>
    <n v="0.6600000262260437"/>
    <n v="0.55000001192092896"/>
    <n v="0.81999999284744263"/>
    <n v="0.5"/>
    <n v="13"/>
    <n v="0.17899999999999999"/>
    <x v="0"/>
  </r>
  <r>
    <x v="58"/>
    <x v="47"/>
    <x v="30"/>
    <x v="10"/>
    <x v="3"/>
    <s v="Spotify All-Time Most Streamed Top 100"/>
    <n v="2.2899999618530273"/>
    <n v="78"/>
    <n v="0.46000000834465027"/>
    <n v="0.47999998927116394"/>
    <n v="0.2800000011920929"/>
    <n v="0.25999999046325684"/>
    <n v="10"/>
    <n v="0.20799999999999999"/>
    <x v="0"/>
  </r>
  <r>
    <x v="59"/>
    <x v="48"/>
    <x v="9"/>
    <x v="2"/>
    <x v="5"/>
    <s v="Spotify All-Time Most Streamed Top 100"/>
    <n v="2.2599999904632568"/>
    <n v="86"/>
    <n v="0.43999999761581421"/>
    <n v="0.30000001192092896"/>
    <n v="0.30000001192092896"/>
    <n v="0.54000002145767212"/>
    <n v="6"/>
    <n v="0.32300000000000001"/>
    <x v="1"/>
  </r>
  <r>
    <x v="60"/>
    <x v="49"/>
    <x v="25"/>
    <x v="2"/>
    <x v="5"/>
    <s v="Spotify All-Time Most Streamed Top 100"/>
    <n v="2.2000000476837158"/>
    <n v="150"/>
    <n v="0.69999998807907104"/>
    <n v="0.75"/>
    <n v="0.60000002384185791"/>
    <n v="1.9999999552965164E-2"/>
    <n v="6"/>
    <n v="0.314"/>
    <x v="0"/>
  </r>
  <r>
    <x v="61"/>
    <x v="1"/>
    <x v="31"/>
    <x v="1"/>
    <x v="9"/>
    <s v="Spotify All-Time Most Streamed Top 100"/>
    <n v="3.4500000476837158"/>
    <n v="96"/>
    <n v="0.60000002384185791"/>
    <n v="0.56000000238418579"/>
    <n v="0.51999998092651367"/>
    <n v="0.31000000238418579"/>
    <n v="12"/>
    <n v="0.26500000000000001"/>
    <x v="0"/>
  </r>
  <r>
    <x v="62"/>
    <x v="43"/>
    <x v="32"/>
    <x v="0"/>
    <x v="17"/>
    <s v="Spotify All-Time Most Streamed Top 100"/>
    <n v="2.9300000667572021"/>
    <n v="102"/>
    <n v="0.62000000476837158"/>
    <n v="0.37999999523162842"/>
    <n v="0.55000001192092896"/>
    <n v="0.46000000834465027"/>
    <n v="11"/>
    <n v="0.24399999999999999"/>
    <x v="1"/>
  </r>
  <r>
    <x v="63"/>
    <x v="50"/>
    <x v="2"/>
    <x v="2"/>
    <x v="2"/>
    <s v="Spotify All-Time Most Streamed Top 100"/>
    <n v="2.8199999332427979"/>
    <n v="130"/>
    <n v="0.57999998331069946"/>
    <n v="0.68999999761581421"/>
    <n v="0.30000001192092896"/>
    <n v="5.000000074505806E-2"/>
    <n v="8"/>
    <n v="0.313"/>
    <x v="0"/>
  </r>
  <r>
    <x v="64"/>
    <x v="51"/>
    <x v="7"/>
    <x v="4"/>
    <x v="1"/>
    <s v="Spotify All-Time Most Streamed Top 100"/>
    <n v="2.9000000953674316"/>
    <n v="103"/>
    <n v="0.62000000476837158"/>
    <n v="0.73000001907348633"/>
    <n v="0.52999997138977051"/>
    <n v="5.9999998658895493E-2"/>
    <n v="9"/>
    <n v="0.28999999999999998"/>
    <x v="0"/>
  </r>
  <r>
    <x v="65"/>
    <x v="41"/>
    <x v="28"/>
    <x v="2"/>
    <x v="5"/>
    <s v="Spotify All-Time Most Streamed Top 100"/>
    <n v="2.6500000953674316"/>
    <n v="144"/>
    <n v="0.74000000953674316"/>
    <n v="0.6600000262260437"/>
    <n v="0.68999999761581421"/>
    <n v="3.9999999105930328E-2"/>
    <n v="6"/>
    <n v="0.379"/>
    <x v="0"/>
  </r>
  <r>
    <x v="66"/>
    <x v="52"/>
    <x v="6"/>
    <x v="2"/>
    <x v="3"/>
    <s v="Spotify All-Time Most Streamed Top 100"/>
    <n v="3.4200000762939453"/>
    <n v="98"/>
    <n v="0.72000002861022949"/>
    <n v="0.62000000476837158"/>
    <n v="0.43999999761581421"/>
    <n v="5.9999998658895493E-2"/>
    <n v="10"/>
    <n v="0.311"/>
    <x v="0"/>
  </r>
  <r>
    <x v="67"/>
    <x v="1"/>
    <x v="33"/>
    <x v="1"/>
    <x v="9"/>
    <s v="Spotify All-Time Most Streamed Top 100"/>
    <n v="2.0999999046325684"/>
    <n v="79"/>
    <n v="0.77999997138977051"/>
    <n v="0.43999999761581421"/>
    <n v="0.46000000834465027"/>
    <n v="0.30000001192092896"/>
    <n v="12"/>
    <n v="0.16200000000000001"/>
    <x v="0"/>
  </r>
  <r>
    <x v="68"/>
    <x v="20"/>
    <x v="16"/>
    <x v="2"/>
    <x v="8"/>
    <s v="Spotify All-Time Most Streamed Top 100"/>
    <n v="2.0799999237060547"/>
    <n v="72"/>
    <n v="0.36000001430511475"/>
    <n v="0.52999997138977051"/>
    <n v="0.23999999463558197"/>
    <n v="0.23999999463558197"/>
    <n v="13"/>
    <n v="0.14899999999999999"/>
    <x v="0"/>
  </r>
  <r>
    <x v="69"/>
    <x v="53"/>
    <x v="9"/>
    <x v="2"/>
    <x v="6"/>
    <s v="Spotify All-Time Most Streamed Top 100"/>
    <n v="2.6800000667572021"/>
    <n v="98"/>
    <n v="0.5899999737739563"/>
    <n v="0.55000001192092896"/>
    <n v="0.86000001430511475"/>
    <n v="0.2800000011920929"/>
    <n v="4"/>
    <n v="0.53600000000000003"/>
    <x v="0"/>
  </r>
  <r>
    <x v="70"/>
    <x v="54"/>
    <x v="2"/>
    <x v="3"/>
    <x v="3"/>
    <s v="Spotify All-Time Most Streamed Top 100"/>
    <n v="2.9600000381469727"/>
    <n v="84"/>
    <n v="0.63999998569488525"/>
    <n v="0.43999999761581421"/>
    <n v="0.55000001192092896"/>
    <n v="0.18000000715255737"/>
    <n v="10"/>
    <n v="0.26900000000000002"/>
    <x v="0"/>
  </r>
  <r>
    <x v="71"/>
    <x v="55"/>
    <x v="25"/>
    <x v="2"/>
    <x v="4"/>
    <s v="Spotify All-Time Most Streamed Top 100"/>
    <n v="1.9900000095367432"/>
    <n v="144"/>
    <n v="0.57999998331069946"/>
    <n v="0.85000002384185791"/>
    <n v="0.68000000715255737"/>
    <n v="1.9999999552965164E-2"/>
    <n v="5"/>
    <n v="0.33200000000000002"/>
    <x v="0"/>
  </r>
  <r>
    <x v="72"/>
    <x v="56"/>
    <x v="9"/>
    <x v="2"/>
    <x v="4"/>
    <s v="Spotify All-Time Most Streamed Top 100"/>
    <n v="1.6399999856948853"/>
    <n v="138"/>
    <n v="0.75999999046325684"/>
    <n v="0.80000001192092896"/>
    <n v="0.95999997854232788"/>
    <n v="5.9999998658895493E-2"/>
    <n v="5"/>
    <n v="0.27300000000000002"/>
    <x v="0"/>
  </r>
  <r>
    <x v="73"/>
    <x v="57"/>
    <x v="16"/>
    <x v="2"/>
    <x v="13"/>
    <s v="Spotify All-Time Most Streamed Top 100"/>
    <n v="1.3999999761581421"/>
    <n v="97"/>
    <n v="0.46000000834465027"/>
    <n v="0.68000000715255737"/>
    <n v="0.46000000834465027"/>
    <n v="7.0000000298023224E-2"/>
    <n v="2"/>
    <n v="0.46700000000000003"/>
    <x v="0"/>
  </r>
  <r>
    <x v="74"/>
    <x v="58"/>
    <x v="2"/>
    <x v="2"/>
    <x v="6"/>
    <s v="Spotify All-Time Most Streamed Top 100"/>
    <n v="2.7000000476837158"/>
    <n v="97"/>
    <n v="0.62000000476837158"/>
    <n v="0.62000000476837158"/>
    <n v="0.43999999761581421"/>
    <n v="0.14000000059604645"/>
    <n v="4"/>
    <n v="0.54"/>
    <x v="0"/>
  </r>
  <r>
    <x v="75"/>
    <x v="59"/>
    <x v="2"/>
    <x v="11"/>
    <x v="5"/>
    <s v="Spotify All-Time Most Streamed Top 100"/>
    <n v="1.8600000143051147"/>
    <n v="107"/>
    <n v="0.75999999046325684"/>
    <n v="0.68999999761581421"/>
    <n v="0.64999997615814209"/>
    <n v="9.9999997764825821E-3"/>
    <n v="6"/>
    <n v="0.26600000000000001"/>
    <x v="0"/>
  </r>
  <r>
    <x v="76"/>
    <x v="60"/>
    <x v="34"/>
    <x v="6"/>
    <x v="13"/>
    <s v="Spotify All-Time Most Streamed Top 100"/>
    <n v="1.6599999666213989"/>
    <n v="145"/>
    <n v="0.86000001430511475"/>
    <n v="0.79000002145767212"/>
    <n v="0.87999999523162842"/>
    <n v="5.000000074505806E-2"/>
    <n v="2"/>
    <n v="0.55300000000000005"/>
    <x v="0"/>
  </r>
  <r>
    <x v="77"/>
    <x v="61"/>
    <x v="5"/>
    <x v="2"/>
    <x v="18"/>
    <s v="Spotify All-Time Most Streamed Top 100"/>
    <n v="1.7799999713897705"/>
    <n v="64"/>
    <n v="0.31000000238418579"/>
    <n v="0.85000002384185791"/>
    <n v="0.11999999731779099"/>
    <n v="0"/>
    <n v="20"/>
    <n v="8.5000000000000006E-2"/>
    <x v="0"/>
  </r>
  <r>
    <x v="78"/>
    <x v="62"/>
    <x v="5"/>
    <x v="2"/>
    <x v="19"/>
    <s v="Spotify All-Time Most Streamed Top 100"/>
    <n v="1.7200000286102295"/>
    <n v="77"/>
    <n v="0.33000001311302185"/>
    <n v="0.2800000011920929"/>
    <n v="0.14000000059604645"/>
    <n v="0.57999998331069946"/>
    <n v="28"/>
    <n v="5.8999999999999997E-2"/>
    <x v="1"/>
  </r>
  <r>
    <x v="79"/>
    <x v="63"/>
    <x v="6"/>
    <x v="3"/>
    <x v="0"/>
    <s v="Spotify All-Time Most Streamed Top 100"/>
    <n v="1.7000000476837158"/>
    <n v="145"/>
    <n v="0.72000002861022949"/>
    <n v="0.79000002145767212"/>
    <n v="0.37999999523162842"/>
    <n v="3.9999999105930328E-2"/>
    <n v="7"/>
    <n v="0.21299999999999999"/>
    <x v="0"/>
  </r>
  <r>
    <x v="80"/>
    <x v="64"/>
    <x v="35"/>
    <x v="2"/>
    <x v="13"/>
    <s v="Spotify All-Time Most Streamed Top 100"/>
    <n v="1.6799999475479126"/>
    <n v="106"/>
    <n v="0.72000002861022949"/>
    <n v="0.64999997615814209"/>
    <n v="0.72000002861022949"/>
    <n v="0.14000000059604645"/>
    <n v="2"/>
    <n v="0.56000000000000005"/>
    <x v="0"/>
  </r>
  <r>
    <x v="81"/>
    <x v="65"/>
    <x v="36"/>
    <x v="2"/>
    <x v="7"/>
    <s v="Spotify All-Time Most Streamed Top 100"/>
    <n v="1.6499999761581421"/>
    <n v="90"/>
    <n v="0.60000002384185791"/>
    <n v="0.55000001192092896"/>
    <n v="0.63999998569488525"/>
    <n v="0.20999999344348907"/>
    <n v="3"/>
    <n v="0.41199999999999998"/>
    <x v="0"/>
  </r>
  <r>
    <x v="82"/>
    <x v="66"/>
    <x v="29"/>
    <x v="12"/>
    <x v="13"/>
    <s v="Spotify All-Time Most Streamed Top 100"/>
    <n v="1.6299999952316284"/>
    <n v="86"/>
    <n v="0.62000000476837158"/>
    <n v="0.47999998927116394"/>
    <n v="0.68000000715255737"/>
    <n v="0.41999998688697815"/>
    <n v="2"/>
    <n v="0.54300000000000004"/>
    <x v="0"/>
  </r>
  <r>
    <x v="83"/>
    <x v="11"/>
    <x v="37"/>
    <x v="1"/>
    <x v="1"/>
    <s v="Spotify All-Time Most Streamed Top 100"/>
    <n v="2.0499999523162842"/>
    <n v="90"/>
    <n v="0.30000001192092896"/>
    <n v="0.52999997138977051"/>
    <n v="0.10000000149011612"/>
    <n v="0.20000000298023224"/>
    <n v="9"/>
    <n v="0.20499999999999999"/>
    <x v="0"/>
  </r>
  <r>
    <x v="84"/>
    <x v="11"/>
    <x v="9"/>
    <x v="1"/>
    <x v="0"/>
    <s v="Spotify All-Time Most Streamed Top 100"/>
    <n v="1.8999999761581421"/>
    <n v="108"/>
    <n v="0.56000000238418579"/>
    <n v="0.75999999046325684"/>
    <n v="0.6600000262260437"/>
    <n v="3.9999999105930328E-2"/>
    <n v="7"/>
    <n v="0.23699999999999999"/>
    <x v="0"/>
  </r>
  <r>
    <x v="85"/>
    <x v="67"/>
    <x v="9"/>
    <x v="13"/>
    <x v="0"/>
    <s v="Spotify All-Time Most Streamed Top 100"/>
    <n v="1.8799999952316284"/>
    <n v="86"/>
    <n v="0.34000000357627869"/>
    <n v="0.30000001192092896"/>
    <n v="0.10000000149011612"/>
    <n v="0.51999998092651367"/>
    <n v="7"/>
    <n v="0.23499999999999999"/>
    <x v="1"/>
  </r>
  <r>
    <x v="86"/>
    <x v="68"/>
    <x v="3"/>
    <x v="2"/>
    <x v="17"/>
    <s v="Spotify All-Time Most Streamed Top 100"/>
    <n v="1.4199999570846558"/>
    <n v="80"/>
    <n v="0.52999997138977051"/>
    <n v="0.37000000476837158"/>
    <n v="0.47999998927116394"/>
    <n v="0.41999998688697815"/>
    <n v="11"/>
    <n v="0.11799999999999999"/>
    <x v="1"/>
  </r>
  <r>
    <x v="87"/>
    <x v="69"/>
    <x v="2"/>
    <x v="2"/>
    <x v="1"/>
    <s v="Spotify All-Time Most Streamed Top 100"/>
    <n v="1.440000057220459"/>
    <n v="107"/>
    <n v="0.77999997138977051"/>
    <n v="0.68000000715255737"/>
    <n v="0.60000002384185791"/>
    <n v="5.9999998658895493E-2"/>
    <n v="9"/>
    <n v="0.14399999999999999"/>
    <x v="0"/>
  </r>
  <r>
    <x v="88"/>
    <x v="57"/>
    <x v="2"/>
    <x v="2"/>
    <x v="7"/>
    <s v="Spotify All-Time Most Streamed Top 100"/>
    <n v="1.6799999475479126"/>
    <n v="80"/>
    <n v="0.50999999046325684"/>
    <n v="0.43999999761581421"/>
    <n v="0.41999998688697815"/>
    <n v="0.2800000011920929"/>
    <n v="3"/>
    <n v="0.42"/>
    <x v="0"/>
  </r>
  <r>
    <x v="89"/>
    <x v="70"/>
    <x v="38"/>
    <x v="2"/>
    <x v="4"/>
    <s v="Spotify All-Time Most Streamed Top 100"/>
    <n v="2.2300000190734863"/>
    <n v="115"/>
    <n v="0.77999997138977051"/>
    <n v="0.6600000262260437"/>
    <n v="0.80000001192092896"/>
    <n v="1.9999999552965164E-2"/>
    <n v="5"/>
    <n v="0.372"/>
    <x v="0"/>
  </r>
  <r>
    <x v="90"/>
    <x v="71"/>
    <x v="20"/>
    <x v="2"/>
    <x v="6"/>
    <s v="Spotify All-Time Most Streamed Top 100"/>
    <n v="1.6000000238418579"/>
    <n v="139"/>
    <n v="0.51999998092651367"/>
    <n v="0.63999998569488525"/>
    <n v="0.43999999761581421"/>
    <n v="0.10000000149011612"/>
    <n v="4"/>
    <n v="0.32"/>
    <x v="0"/>
  </r>
  <r>
    <x v="91"/>
    <x v="72"/>
    <x v="9"/>
    <x v="14"/>
    <x v="8"/>
    <s v="Spotify All-Time Most Streamed Top 100"/>
    <n v="1.5399999618530273"/>
    <n v="104"/>
    <n v="0.37999999523162842"/>
    <n v="0.43999999761581421"/>
    <n v="0.2199999988079071"/>
    <n v="0.30000001192092896"/>
    <n v="13"/>
    <n v="0.11"/>
    <x v="0"/>
  </r>
  <r>
    <x v="92"/>
    <x v="73"/>
    <x v="16"/>
    <x v="15"/>
    <x v="20"/>
    <s v="Spotify All-Time Most Streamed Top 100"/>
    <n v="1.4600000381469727"/>
    <n v="139"/>
    <n v="0.74000000953674316"/>
    <n v="0.75999999046325684"/>
    <n v="0.86000001430511475"/>
    <n v="0.37999999523162842"/>
    <n v="30"/>
    <n v="4.7E-2"/>
    <x v="0"/>
  </r>
  <r>
    <x v="93"/>
    <x v="74"/>
    <x v="5"/>
    <x v="1"/>
    <x v="21"/>
    <s v="Spotify All-Time Most Streamed Top 100"/>
    <n v="1.6200000047683716"/>
    <n v="154"/>
    <n v="0.43999999761581421"/>
    <n v="0.81999999284744263"/>
    <n v="0.43999999761581421"/>
    <n v="3.9999999105930328E-2"/>
    <n v="25"/>
    <n v="6.2E-2"/>
    <x v="0"/>
  </r>
  <r>
    <x v="94"/>
    <x v="75"/>
    <x v="2"/>
    <x v="13"/>
    <x v="7"/>
    <s v="Spotify All-Time Most Streamed Top 100"/>
    <n v="1.5800000429153442"/>
    <n v="90"/>
    <n v="0.6600000262260437"/>
    <n v="0.54000002145767212"/>
    <n v="0.75999999046325684"/>
    <n v="0.2199999988079071"/>
    <n v="3"/>
    <n v="0.39500000000000002"/>
    <x v="0"/>
  </r>
  <r>
    <x v="95"/>
    <x v="76"/>
    <x v="7"/>
    <x v="1"/>
    <x v="2"/>
    <s v="Spotify All-Time Most Streamed Top 100"/>
    <n v="1.9199999570846558"/>
    <n v="143"/>
    <n v="0.75999999046325684"/>
    <n v="0.87999999523162842"/>
    <n v="0.72000002861022949"/>
    <n v="0"/>
    <n v="8"/>
    <n v="0.21299999999999999"/>
    <x v="0"/>
  </r>
  <r>
    <x v="96"/>
    <x v="77"/>
    <x v="0"/>
    <x v="16"/>
    <x v="5"/>
    <s v="Spotify All-Time Most Streamed Top 100"/>
    <n v="1.440000057220459"/>
    <n v="171"/>
    <n v="0.54000002145767212"/>
    <n v="0.80000001192092896"/>
    <n v="0.36000001430511475"/>
    <n v="9.9999997764825821E-3"/>
    <n v="6"/>
    <n v="0.20599999999999999"/>
    <x v="0"/>
  </r>
  <r>
    <x v="97"/>
    <x v="78"/>
    <x v="9"/>
    <x v="2"/>
    <x v="2"/>
    <s v="Spotify All-Time Most Streamed Top 100"/>
    <n v="1.559999942779541"/>
    <n v="150"/>
    <n v="0.63999998569488525"/>
    <n v="0.41999998688697815"/>
    <n v="0.72000002861022949"/>
    <n v="0.37999999523162842"/>
    <n v="8"/>
    <n v="0.17299999999999999"/>
    <x v="0"/>
  </r>
  <r>
    <x v="98"/>
    <x v="79"/>
    <x v="6"/>
    <x v="0"/>
    <x v="5"/>
    <s v="Spotify All-Time Most Streamed Top 100"/>
    <n v="3.0499999523162842"/>
    <n v="142"/>
    <n v="0.81999999284744263"/>
    <n v="0.62000000476837158"/>
    <n v="0.55000001192092896"/>
    <n v="1.9999999552965164E-2"/>
    <n v="6"/>
    <n v="0.436"/>
    <x v="0"/>
  </r>
  <r>
    <x v="99"/>
    <x v="25"/>
    <x v="2"/>
    <x v="2"/>
    <x v="9"/>
    <s v="Spotify All-Time Most Streamed Top 100"/>
    <n v="1.6000000238418579"/>
    <n v="160"/>
    <n v="0.64999997615814209"/>
    <n v="0.80000001192092896"/>
    <n v="0.93999999761581421"/>
    <n v="5.9999998658895493E-2"/>
    <n v="12"/>
    <n v="0.12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s v="Die With A Smile"/>
    <x v="0"/>
    <n v="112"/>
    <n v="4"/>
    <n v="2010"/>
    <n v="101.4492739601512"/>
    <x v="0"/>
    <x v="0"/>
  </r>
  <r>
    <x v="1"/>
    <x v="1"/>
    <x v="1"/>
    <x v="1"/>
    <s v="Fortnight"/>
    <x v="1"/>
    <n v="110"/>
    <n v="14"/>
    <n v="2006"/>
    <n v="102.32558139534885"/>
    <x v="0"/>
    <x v="1"/>
  </r>
  <r>
    <x v="2"/>
    <x v="2"/>
    <x v="0"/>
    <x v="0"/>
    <s v="Amen"/>
    <x v="2"/>
    <n v="95"/>
    <n v="4"/>
    <n v="2006"/>
    <n v="107.22347814458288"/>
    <x v="0"/>
    <x v="1"/>
  </r>
  <r>
    <x v="3"/>
    <x v="3"/>
    <x v="2"/>
    <x v="0"/>
    <s v="NUEVAYoL"/>
    <x v="3"/>
    <n v="89"/>
    <n v="0"/>
    <n v="2016"/>
    <n v="105.70071642010674"/>
    <x v="1"/>
    <x v="2"/>
  </r>
  <r>
    <x v="4"/>
    <x v="4"/>
    <x v="1"/>
    <x v="1"/>
    <s v="Espresso"/>
    <x v="4"/>
    <n v="58"/>
    <n v="0"/>
    <n v="2015"/>
    <n v="70.64555551518346"/>
    <x v="1"/>
    <x v="3"/>
  </r>
  <r>
    <x v="5"/>
    <x v="5"/>
    <x v="1"/>
    <x v="1"/>
    <s v="Birds Of A Feather"/>
    <x v="5"/>
    <n v="110"/>
    <n v="9"/>
    <n v="2015"/>
    <n v="140.12738853503183"/>
    <x v="0"/>
    <x v="3"/>
  </r>
  <r>
    <x v="6"/>
    <x v="6"/>
    <x v="3"/>
    <x v="0"/>
    <s v="Azizam"/>
    <x v="6"/>
    <n v="115"/>
    <n v="4"/>
    <n v="2011"/>
    <n v="150.72083276587841"/>
    <x v="0"/>
    <x v="4"/>
  </r>
  <r>
    <x v="7"/>
    <x v="7"/>
    <x v="1"/>
    <x v="1"/>
    <s v="we can't be friends"/>
    <x v="7"/>
    <n v="94"/>
    <n v="2"/>
    <n v="2013"/>
    <n v="129.12087370816437"/>
    <x v="0"/>
    <x v="5"/>
  </r>
  <r>
    <x v="8"/>
    <x v="2"/>
    <x v="1"/>
    <x v="0"/>
    <s v="Not Like Us"/>
    <x v="8"/>
    <n v="52"/>
    <n v="17"/>
    <n v="2003"/>
    <n v="72.727272727272734"/>
    <x v="0"/>
    <x v="6"/>
  </r>
  <r>
    <x v="9"/>
    <x v="4"/>
    <x v="3"/>
    <x v="0"/>
    <s v="Music For a Sushi Restaurant"/>
    <x v="9"/>
    <n v="80"/>
    <n v="0"/>
    <n v="2010"/>
    <n v="113.96011891422626"/>
    <x v="1"/>
    <x v="0"/>
  </r>
  <r>
    <x v="10"/>
    <x v="8"/>
    <x v="1"/>
    <x v="0"/>
    <s v="I Had Some Help"/>
    <x v="10"/>
    <n v="62"/>
    <n v="0"/>
    <n v="2015"/>
    <n v="90.24745670179594"/>
    <x v="1"/>
    <x v="3"/>
  </r>
  <r>
    <x v="11"/>
    <x v="9"/>
    <x v="4"/>
    <x v="2"/>
    <s v="Dynamite"/>
    <x v="11"/>
    <n v="75"/>
    <n v="0"/>
    <n v="2013"/>
    <n v="112.95180463327144"/>
    <x v="1"/>
    <x v="5"/>
  </r>
  <r>
    <x v="12"/>
    <x v="10"/>
    <x v="1"/>
    <x v="1"/>
    <s v="Vampire"/>
    <x v="12"/>
    <n v="56"/>
    <n v="5"/>
    <n v="2021"/>
    <n v="86.419749016479258"/>
    <x v="0"/>
    <x v="7"/>
  </r>
  <r>
    <x v="13"/>
    <x v="3"/>
    <x v="5"/>
    <x v="1"/>
    <s v="Baile Inolvidable"/>
    <x v="13"/>
    <n v="50"/>
    <n v="1"/>
    <n v="2017"/>
    <n v="78.740157480314963"/>
    <x v="0"/>
    <x v="8"/>
  </r>
  <r>
    <x v="14"/>
    <x v="11"/>
    <x v="3"/>
    <x v="1"/>
    <s v="Illusion"/>
    <x v="14"/>
    <n v="82"/>
    <n v="2"/>
    <n v="2017"/>
    <n v="132.04509181134975"/>
    <x v="0"/>
    <x v="8"/>
  </r>
  <r>
    <x v="15"/>
    <x v="4"/>
    <x v="1"/>
    <x v="1"/>
    <s v="Die With A Smile"/>
    <x v="15"/>
    <n v="98"/>
    <n v="13"/>
    <n v="2008"/>
    <n v="161.18421254891112"/>
    <x v="0"/>
    <x v="9"/>
  </r>
  <r>
    <x v="16"/>
    <x v="7"/>
    <x v="1"/>
    <x v="0"/>
    <s v="APT."/>
    <x v="16"/>
    <n v="65"/>
    <n v="15"/>
    <n v="2010"/>
    <n v="109.42760661661151"/>
    <x v="0"/>
    <x v="0"/>
  </r>
  <r>
    <x v="17"/>
    <x v="12"/>
    <x v="1"/>
    <x v="1"/>
    <s v="Good Luck, Babe!"/>
    <x v="17"/>
    <n v="40"/>
    <n v="1"/>
    <n v="2017"/>
    <n v="68.728521435812709"/>
    <x v="0"/>
    <x v="8"/>
  </r>
  <r>
    <x v="18"/>
    <x v="13"/>
    <x v="1"/>
    <x v="1"/>
    <s v="Saturn"/>
    <x v="18"/>
    <n v="48"/>
    <n v="4"/>
    <n v="2012"/>
    <n v="83.0449837951262"/>
    <x v="0"/>
    <x v="10"/>
  </r>
  <r>
    <x v="19"/>
    <x v="14"/>
    <x v="1"/>
    <x v="0"/>
    <s v="I Had Some Help"/>
    <x v="19"/>
    <n v="44"/>
    <n v="0"/>
    <n v="2018"/>
    <n v="78.152754167421307"/>
    <x v="1"/>
    <x v="11"/>
  </r>
  <r>
    <x v="20"/>
    <x v="15"/>
    <x v="1"/>
    <x v="2"/>
    <s v="Eyes Closed"/>
    <x v="20"/>
    <n v="68"/>
    <n v="1"/>
    <n v="2009"/>
    <n v="123.41198163905153"/>
    <x v="0"/>
    <x v="12"/>
  </r>
  <r>
    <x v="21"/>
    <x v="2"/>
    <x v="1"/>
    <x v="0"/>
    <s v="Houdini"/>
    <x v="21"/>
    <n v="72"/>
    <n v="15"/>
    <n v="1996"/>
    <n v="131.38686314306972"/>
    <x v="0"/>
    <x v="13"/>
  </r>
  <r>
    <x v="22"/>
    <x v="4"/>
    <x v="1"/>
    <x v="1"/>
    <s v="Flowers"/>
    <x v="22"/>
    <n v="60"/>
    <n v="2"/>
    <n v="2006"/>
    <n v="112.35954735117859"/>
    <x v="0"/>
    <x v="1"/>
  </r>
  <r>
    <x v="23"/>
    <x v="16"/>
    <x v="1"/>
    <x v="1"/>
    <s v="Nissan Altima"/>
    <x v="23"/>
    <n v="44"/>
    <n v="3"/>
    <n v="2018"/>
    <n v="83.491459891860927"/>
    <x v="0"/>
    <x v="11"/>
  </r>
  <r>
    <x v="24"/>
    <x v="17"/>
    <x v="4"/>
    <x v="1"/>
    <s v="APT."/>
    <x v="24"/>
    <n v="38"/>
    <n v="0"/>
    <n v="2016"/>
    <n v="73.359074439546959"/>
    <x v="1"/>
    <x v="2"/>
  </r>
  <r>
    <x v="25"/>
    <x v="18"/>
    <x v="1"/>
    <x v="1"/>
    <s v="Texas Hold 'Em"/>
    <x v="25"/>
    <n v="85"/>
    <n v="32"/>
    <n v="2003"/>
    <n v="166.99410108422836"/>
    <x v="0"/>
    <x v="6"/>
  </r>
  <r>
    <x v="26"/>
    <x v="19"/>
    <x v="6"/>
    <x v="1"/>
    <s v="Water"/>
    <x v="26"/>
    <n v="30"/>
    <n v="1"/>
    <n v="2023"/>
    <n v="60.36217211161604"/>
    <x v="0"/>
    <x v="14"/>
  </r>
  <r>
    <x v="27"/>
    <x v="20"/>
    <x v="1"/>
    <x v="0"/>
    <s v="A Bar Song"/>
    <x v="27"/>
    <n v="28"/>
    <n v="0"/>
    <n v="2022"/>
    <n v="57.731958762886592"/>
    <x v="1"/>
    <x v="15"/>
  </r>
  <r>
    <x v="28"/>
    <x v="15"/>
    <x v="3"/>
    <x v="2"/>
    <s v="feelslikeimfallinginlove"/>
    <x v="28"/>
    <n v="65"/>
    <n v="7"/>
    <n v="1997"/>
    <n v="135.98326576876565"/>
    <x v="0"/>
    <x v="16"/>
  </r>
  <r>
    <x v="29"/>
    <x v="4"/>
    <x v="0"/>
    <x v="0"/>
    <s v="Peaches"/>
    <x v="29"/>
    <n v="96"/>
    <n v="2"/>
    <n v="2009"/>
    <n v="206.45161290322579"/>
    <x v="0"/>
    <x v="12"/>
  </r>
  <r>
    <x v="30"/>
    <x v="21"/>
    <x v="7"/>
    <x v="0"/>
    <s v="La Durango"/>
    <x v="30"/>
    <n v="30"/>
    <n v="0"/>
    <n v="2020"/>
    <n v="65.502184497253296"/>
    <x v="1"/>
    <x v="17"/>
  </r>
  <r>
    <x v="31"/>
    <x v="5"/>
    <x v="1"/>
    <x v="1"/>
    <s v="Did you know that there's a tunnel"/>
    <x v="31"/>
    <n v="48"/>
    <n v="0"/>
    <n v="2010"/>
    <n v="107.62332206771651"/>
    <x v="1"/>
    <x v="0"/>
  </r>
  <r>
    <x v="32"/>
    <x v="5"/>
    <x v="1"/>
    <x v="1"/>
    <s v="That's So True"/>
    <x v="32"/>
    <n v="25"/>
    <n v="0"/>
    <n v="2020"/>
    <n v="57.208236987496086"/>
    <x v="1"/>
    <x v="17"/>
  </r>
  <r>
    <x v="33"/>
    <x v="4"/>
    <x v="0"/>
    <x v="1"/>
    <s v="Exes"/>
    <x v="33"/>
    <n v="28"/>
    <n v="0"/>
    <n v="2020"/>
    <n v="65.268062946592991"/>
    <x v="1"/>
    <x v="17"/>
  </r>
  <r>
    <x v="34"/>
    <x v="22"/>
    <x v="8"/>
    <x v="0"/>
    <s v="Too Sweet"/>
    <x v="34"/>
    <n v="30"/>
    <n v="0"/>
    <n v="2014"/>
    <n v="71.258909946139369"/>
    <x v="1"/>
    <x v="18"/>
  </r>
  <r>
    <x v="35"/>
    <x v="23"/>
    <x v="1"/>
    <x v="0"/>
    <s v="Beautiful Things"/>
    <x v="35"/>
    <n v="22"/>
    <n v="0"/>
    <n v="2022"/>
    <n v="53.140094659774164"/>
    <x v="1"/>
    <x v="15"/>
  </r>
  <r>
    <x v="36"/>
    <x v="24"/>
    <x v="1"/>
    <x v="0"/>
    <s v="Lose Control"/>
    <x v="36"/>
    <n v="18"/>
    <n v="0"/>
    <n v="2020"/>
    <n v="44.117647883801325"/>
    <x v="1"/>
    <x v="17"/>
  </r>
  <r>
    <x v="37"/>
    <x v="22"/>
    <x v="1"/>
    <x v="0"/>
    <s v="Stick Season"/>
    <x v="37"/>
    <n v="20"/>
    <n v="0"/>
    <n v="2019"/>
    <n v="50.125311366286837"/>
    <x v="1"/>
    <x v="19"/>
  </r>
  <r>
    <x v="38"/>
    <x v="25"/>
    <x v="1"/>
    <x v="0"/>
    <s v="End Of Beginning"/>
    <x v="38"/>
    <n v="15"/>
    <n v="0"/>
    <n v="2019"/>
    <n v="38.759689158364438"/>
    <x v="1"/>
    <x v="19"/>
  </r>
  <r>
    <x v="39"/>
    <x v="17"/>
    <x v="4"/>
    <x v="0"/>
    <s v="Who"/>
    <x v="39"/>
    <n v="22"/>
    <n v="0"/>
    <n v="2013"/>
    <n v="58.201059375764139"/>
    <x v="1"/>
    <x v="5"/>
  </r>
  <r>
    <x v="40"/>
    <x v="26"/>
    <x v="9"/>
    <x v="1"/>
    <s v="From The Start"/>
    <x v="40"/>
    <n v="18"/>
    <n v="1"/>
    <n v="2020"/>
    <n v="48.78048578772048"/>
    <x v="0"/>
    <x v="17"/>
  </r>
  <r>
    <x v="41"/>
    <x v="2"/>
    <x v="1"/>
    <x v="0"/>
    <s v="Lovin On Me"/>
    <x v="41"/>
    <n v="24"/>
    <n v="0"/>
    <n v="2018"/>
    <n v="67.039107573932398"/>
    <x v="1"/>
    <x v="11"/>
  </r>
  <r>
    <x v="42"/>
    <x v="19"/>
    <x v="10"/>
    <x v="0"/>
    <s v="Calm Down"/>
    <x v="42"/>
    <n v="20"/>
    <n v="0"/>
    <n v="2019"/>
    <n v="57.636886340822635"/>
    <x v="1"/>
    <x v="19"/>
  </r>
  <r>
    <x v="43"/>
    <x v="9"/>
    <x v="4"/>
    <x v="2"/>
    <s v="Super Shy"/>
    <x v="43"/>
    <n v="18"/>
    <n v="0"/>
    <n v="2022"/>
    <n v="53.2544390718909"/>
    <x v="1"/>
    <x v="15"/>
  </r>
  <r>
    <x v="44"/>
    <x v="27"/>
    <x v="11"/>
    <x v="1"/>
    <s v="Muñequita"/>
    <x v="44"/>
    <n v="15"/>
    <n v="0"/>
    <n v="2012"/>
    <n v="45.59270305261569"/>
    <x v="1"/>
    <x v="10"/>
  </r>
  <r>
    <x v="45"/>
    <x v="0"/>
    <x v="1"/>
    <x v="0"/>
    <s v="Million Dollar Baby"/>
    <x v="45"/>
    <n v="12"/>
    <n v="0"/>
    <n v="2022"/>
    <n v="37.73584996195499"/>
    <x v="1"/>
    <x v="15"/>
  </r>
  <r>
    <x v="46"/>
    <x v="28"/>
    <x v="2"/>
    <x v="0"/>
    <s v="Boom"/>
    <x v="46"/>
    <n v="12"/>
    <n v="0"/>
    <n v="1984"/>
    <n v="40.268457406791775"/>
    <x v="1"/>
    <x v="20"/>
  </r>
  <r>
    <x v="47"/>
    <x v="29"/>
    <x v="1"/>
    <x v="0"/>
    <s v="Pink Skies"/>
    <x v="47"/>
    <n v="22"/>
    <n v="0"/>
    <n v="2020"/>
    <n v="76.65505022706752"/>
    <x v="1"/>
    <x v="17"/>
  </r>
  <r>
    <x v="40"/>
    <x v="26"/>
    <x v="9"/>
    <x v="1"/>
    <s v="Valentine"/>
    <x v="48"/>
    <n v="18"/>
    <n v="1"/>
    <n v="2020"/>
    <n v="64.516129914370978"/>
    <x v="0"/>
    <x v="17"/>
  </r>
  <r>
    <x v="48"/>
    <x v="2"/>
    <x v="1"/>
    <x v="1"/>
    <s v="Think U the Best"/>
    <x v="49"/>
    <n v="14"/>
    <n v="0"/>
    <n v="2021"/>
    <n v="50.724636980075601"/>
    <x v="1"/>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Lady Gaga &amp; Bruno Mars"/>
    <x v="0"/>
    <s v="USA"/>
    <x v="0"/>
    <n v="1.7000000476837158"/>
    <n v="120"/>
    <n v="251"/>
    <n v="1"/>
    <n v="0.72000002861022949"/>
    <n v="0.68000000715255737"/>
    <x v="0"/>
    <x v="0"/>
    <n v="1700.0000476837158"/>
  </r>
  <r>
    <x v="1"/>
    <s v="ROSE &amp; Bruno Mars"/>
    <x v="1"/>
    <s v="South Korea"/>
    <x v="0"/>
    <n v="1.6200000047683716"/>
    <n v="145"/>
    <n v="173"/>
    <n v="1"/>
    <n v="0.86000001430511475"/>
    <n v="0.79000002145767212"/>
    <x v="1"/>
    <x v="0"/>
    <n v="1620.0000047683716"/>
  </r>
  <r>
    <x v="2"/>
    <s v="Sabrina Carpenter"/>
    <x v="0"/>
    <s v="USA"/>
    <x v="0"/>
    <n v="1.5499999523162842"/>
    <n v="104"/>
    <n v="175"/>
    <n v="1"/>
    <n v="0.80000001192092896"/>
    <n v="0.73000001907348633"/>
    <x v="2"/>
    <x v="0"/>
    <n v="1549.9999523162842"/>
  </r>
  <r>
    <x v="3"/>
    <s v="Sabrina Carpenter"/>
    <x v="0"/>
    <s v="USA"/>
    <x v="0"/>
    <n v="1.4800000190734863"/>
    <n v="107"/>
    <n v="186"/>
    <n v="1"/>
    <n v="0.69999998807907104"/>
    <n v="0.6600000262260437"/>
    <x v="3"/>
    <x v="0"/>
    <n v="1480.0000190734863"/>
  </r>
  <r>
    <x v="4"/>
    <s v="Sabrina Carpenter"/>
    <x v="0"/>
    <s v="USA"/>
    <x v="1"/>
    <n v="1.4099999666213989"/>
    <n v="117"/>
    <n v="177"/>
    <n v="1"/>
    <n v="0.77999997138977051"/>
    <n v="0.69999998807907104"/>
    <x v="4"/>
    <x v="0"/>
    <n v="1409.9999666213989"/>
  </r>
  <r>
    <x v="5"/>
    <s v="Billie Eilish"/>
    <x v="2"/>
    <s v="USA"/>
    <x v="0"/>
    <n v="1.3799999952316284"/>
    <n v="88"/>
    <n v="210"/>
    <n v="1"/>
    <n v="0.75"/>
    <n v="0.43999999761581421"/>
    <x v="5"/>
    <x v="0"/>
    <n v="1379.9999952316284"/>
  </r>
  <r>
    <x v="6"/>
    <s v="Kendrick Lamar"/>
    <x v="3"/>
    <s v="USA"/>
    <x v="1"/>
    <n v="1.3500000238418579"/>
    <n v="101"/>
    <n v="274"/>
    <n v="1"/>
    <n v="0.81999999284744263"/>
    <n v="0.72000002861022949"/>
    <x v="6"/>
    <x v="0"/>
    <n v="1350.0000238418579"/>
  </r>
  <r>
    <x v="7"/>
    <s v="Chappell Roan"/>
    <x v="0"/>
    <s v="USA"/>
    <x v="0"/>
    <n v="1.2899999618530273"/>
    <n v="131"/>
    <n v="219"/>
    <n v="1"/>
    <n v="0.6600000262260437"/>
    <n v="0.77999997138977051"/>
    <x v="7"/>
    <x v="0"/>
    <n v="1289.9999618530273"/>
  </r>
  <r>
    <x v="8"/>
    <s v="Benson Boone"/>
    <x v="4"/>
    <s v="USA"/>
    <x v="0"/>
    <n v="1.2400000095367432"/>
    <n v="97"/>
    <n v="211"/>
    <n v="1"/>
    <n v="0.46000000834465027"/>
    <n v="0.68000000715255737"/>
    <x v="8"/>
    <x v="0"/>
    <n v="1240.0000095367432"/>
  </r>
  <r>
    <x v="9"/>
    <s v="Teddy Swims"/>
    <x v="5"/>
    <s v="USA"/>
    <x v="0"/>
    <n v="1.2000000476837158"/>
    <n v="90"/>
    <n v="202"/>
    <n v="1"/>
    <n v="0.60000002384185791"/>
    <n v="0.55000001192092896"/>
    <x v="9"/>
    <x v="0"/>
    <n v="1200.0000476837158"/>
  </r>
  <r>
    <x v="10"/>
    <s v="Hozier"/>
    <x v="6"/>
    <s v="Ireland"/>
    <x v="0"/>
    <n v="1.1799999475479126"/>
    <n v="86"/>
    <n v="236"/>
    <n v="1"/>
    <n v="0.62000000476837158"/>
    <n v="0.47999998927116394"/>
    <x v="10"/>
    <x v="0"/>
    <n v="1179.9999475479126"/>
  </r>
  <r>
    <x v="11"/>
    <s v="Billie Eilish"/>
    <x v="2"/>
    <s v="USA"/>
    <x v="1"/>
    <n v="1.1499999761581421"/>
    <n v="96"/>
    <n v="172"/>
    <n v="1"/>
    <n v="0.69999998807907104"/>
    <n v="0.51999998092651367"/>
    <x v="11"/>
    <x v="0"/>
    <n v="1149.9999761581421"/>
  </r>
  <r>
    <x v="12"/>
    <s v="ROSE"/>
    <x v="1"/>
    <s v="South Korea"/>
    <x v="0"/>
    <n v="1.1200000047683716"/>
    <n v="140"/>
    <n v="182"/>
    <n v="1"/>
    <n v="0.8399999737739563"/>
    <n v="0.81999999284744263"/>
    <x v="12"/>
    <x v="0"/>
    <n v="1120.0000047683716"/>
  </r>
  <r>
    <x v="13"/>
    <s v="Tommy Richman"/>
    <x v="7"/>
    <s v="USA"/>
    <x v="1"/>
    <n v="1.0900000333786011"/>
    <n v="135"/>
    <n v="138"/>
    <n v="1"/>
    <n v="0.76999998092651367"/>
    <n v="0.75999999046325684"/>
    <x v="13"/>
    <x v="0"/>
    <n v="1090.0000333786011"/>
  </r>
  <r>
    <x v="14"/>
    <s v="Shaboozey"/>
    <x v="8"/>
    <s v="USA"/>
    <x v="0"/>
    <n v="1.0700000524520874"/>
    <n v="93"/>
    <n v="191"/>
    <n v="1"/>
    <n v="0.72000002861022949"/>
    <n v="0.57999998331069946"/>
    <x v="14"/>
    <x v="0"/>
    <n v="1070.0000524520874"/>
  </r>
  <r>
    <x v="15"/>
    <s v="Shaboozey"/>
    <x v="9"/>
    <s v="USA"/>
    <x v="0"/>
    <n v="1.0499999523162842"/>
    <n v="96"/>
    <n v="224"/>
    <n v="1"/>
    <n v="0.69999998807907104"/>
    <n v="0.60000002384185791"/>
    <x v="15"/>
    <x v="0"/>
    <n v="1049.9999523162842"/>
  </r>
  <r>
    <x v="16"/>
    <s v="Post Malone ft. Morgan Wallen"/>
    <x v="10"/>
    <s v="USA"/>
    <x v="0"/>
    <n v="1.0299999713897705"/>
    <n v="110"/>
    <n v="192"/>
    <n v="1"/>
    <n v="0.74000000953674316"/>
    <n v="0.64999997615814209"/>
    <x v="16"/>
    <x v="0"/>
    <n v="1029.9999713897705"/>
  </r>
  <r>
    <x v="17"/>
    <s v="Miley Cyrus"/>
    <x v="0"/>
    <s v="USA"/>
    <x v="0"/>
    <n v="0.98000001907348633"/>
    <n v="118"/>
    <n v="200"/>
    <n v="1"/>
    <n v="0.74000000953674316"/>
    <n v="0.74000000953674316"/>
    <x v="17"/>
    <x v="0"/>
    <n v="980.00001907348633"/>
  </r>
  <r>
    <x v="18"/>
    <s v="Taylor Swift"/>
    <x v="11"/>
    <s v="USA"/>
    <x v="0"/>
    <n v="0.95999997854232788"/>
    <n v="170"/>
    <n v="178"/>
    <n v="1"/>
    <n v="0.55000001192092896"/>
    <n v="0.69999998807907104"/>
    <x v="18"/>
    <x v="0"/>
    <n v="959.99997854232788"/>
  </r>
  <r>
    <x v="19"/>
    <s v="Taylor Swift ft. Post Malone"/>
    <x v="2"/>
    <s v="USA"/>
    <x v="0"/>
    <n v="0.93999999761581421"/>
    <n v="107"/>
    <n v="228"/>
    <n v="1"/>
    <n v="0.55000001192092896"/>
    <n v="0.54000002145767212"/>
    <x v="19"/>
    <x v="0"/>
    <n v="939.99999761581421"/>
  </r>
  <r>
    <x v="20"/>
    <s v="Beyoncé ft. Post Malone"/>
    <x v="10"/>
    <s v="USA"/>
    <x v="0"/>
    <n v="0.92000001668930054"/>
    <n v="106"/>
    <n v="254"/>
    <n v="1"/>
    <n v="0.72000002861022949"/>
    <n v="0.64999997615814209"/>
    <x v="20"/>
    <x v="0"/>
    <n v="920.00001668930054"/>
  </r>
  <r>
    <x v="21"/>
    <s v="Beyoncé"/>
    <x v="9"/>
    <s v="USA"/>
    <x v="0"/>
    <n v="0.89999997615814209"/>
    <n v="87"/>
    <n v="238"/>
    <n v="1"/>
    <n v="0.62000000476837158"/>
    <n v="0.60000002384185791"/>
    <x v="21"/>
    <x v="0"/>
    <n v="899.99997615814209"/>
  </r>
  <r>
    <x v="22"/>
    <s v="FloyyMenor &amp; Cris MJ"/>
    <x v="12"/>
    <s v="Chile"/>
    <x v="1"/>
    <n v="0.87999999523162842"/>
    <n v="105"/>
    <n v="165"/>
    <n v="1"/>
    <n v="0.86000001430511475"/>
    <n v="0.80000001192092896"/>
    <x v="22"/>
    <x v="0"/>
    <n v="879.99999523162842"/>
  </r>
  <r>
    <x v="23"/>
    <s v="KAROL G &amp; Nicki Minaj"/>
    <x v="12"/>
    <s v="Colombia"/>
    <x v="0"/>
    <n v="0.87000000476837158"/>
    <n v="130"/>
    <n v="200"/>
    <n v="1"/>
    <n v="0.77999997138977051"/>
    <n v="0.77999997138977051"/>
    <x v="17"/>
    <x v="0"/>
    <n v="870.00000476837158"/>
  </r>
  <r>
    <x v="24"/>
    <s v="Jack Harlow"/>
    <x v="13"/>
    <s v="USA"/>
    <x v="0"/>
    <n v="0.85000002384185791"/>
    <n v="100"/>
    <n v="167"/>
    <n v="1"/>
    <n v="0.77999997138977051"/>
    <n v="0.62000000476837158"/>
    <x v="23"/>
    <x v="0"/>
    <n v="850.00002384185791"/>
  </r>
  <r>
    <x v="25"/>
    <s v="KAROL G"/>
    <x v="14"/>
    <s v="Colombia"/>
    <x v="0"/>
    <n v="0.8399999737739563"/>
    <n v="100"/>
    <n v="202"/>
    <n v="1"/>
    <n v="0.80000001192092896"/>
    <n v="0.72000002861022949"/>
    <x v="9"/>
    <x v="0"/>
    <n v="839.9999737739563"/>
  </r>
  <r>
    <x v="26"/>
    <s v="Gracie Abrams"/>
    <x v="2"/>
    <s v="USA"/>
    <x v="0"/>
    <n v="0.81999999284744263"/>
    <n v="92"/>
    <n v="194"/>
    <n v="1"/>
    <n v="0.60000002384185791"/>
    <n v="0.47999998927116394"/>
    <x v="24"/>
    <x v="0"/>
    <n v="819.99999284744263"/>
  </r>
  <r>
    <x v="27"/>
    <s v="Sabrina Carpenter"/>
    <x v="0"/>
    <s v="USA"/>
    <x v="1"/>
    <n v="0.80000001192092896"/>
    <n v="104"/>
    <n v="160"/>
    <n v="2"/>
    <n v="0.72000002861022949"/>
    <n v="0.57999998331069946"/>
    <x v="25"/>
    <x v="0"/>
    <n v="800.00001192092896"/>
  </r>
  <r>
    <x v="28"/>
    <s v="Tate McRae"/>
    <x v="0"/>
    <s v="Canada"/>
    <x v="0"/>
    <n v="0.79000002145767212"/>
    <n v="128"/>
    <n v="177"/>
    <n v="1"/>
    <n v="0.80000001192092896"/>
    <n v="0.72000002861022949"/>
    <x v="4"/>
    <x v="0"/>
    <n v="790.00002145767212"/>
  </r>
  <r>
    <x v="29"/>
    <s v="Tyla"/>
    <x v="15"/>
    <s v="South Africa"/>
    <x v="0"/>
    <n v="0.77999997138977051"/>
    <n v="110"/>
    <n v="191"/>
    <n v="2"/>
    <n v="0.86000001430511475"/>
    <n v="0.75999999046325684"/>
    <x v="14"/>
    <x v="0"/>
    <n v="779.99997138977051"/>
  </r>
  <r>
    <x v="30"/>
    <s v="Tyla"/>
    <x v="15"/>
    <s v="South Africa"/>
    <x v="0"/>
    <n v="0.76999998092651367"/>
    <n v="107"/>
    <n v="177"/>
    <n v="1"/>
    <n v="0.81999999284744263"/>
    <n v="0.69999998807907104"/>
    <x v="4"/>
    <x v="0"/>
    <n v="769.99998092651367"/>
  </r>
  <r>
    <x v="31"/>
    <s v="Taylor Swift"/>
    <x v="11"/>
    <s v="USA"/>
    <x v="0"/>
    <n v="0.75999999046325684"/>
    <n v="164"/>
    <n v="213"/>
    <n v="1"/>
    <n v="0.63999998569488525"/>
    <n v="0.74000000953674316"/>
    <x v="26"/>
    <x v="0"/>
    <n v="759.99999046325684"/>
  </r>
  <r>
    <x v="32"/>
    <s v="Kendrick Lamar &amp; SZA"/>
    <x v="16"/>
    <s v="USA"/>
    <x v="0"/>
    <n v="0.74000000953674316"/>
    <n v="76"/>
    <n v="242"/>
    <n v="1"/>
    <n v="0.56000000238418579"/>
    <n v="0.41999998688697815"/>
    <x v="27"/>
    <x v="0"/>
    <n v="740.00000953674316"/>
  </r>
  <r>
    <x v="33"/>
    <s v="Billie Eilish"/>
    <x v="2"/>
    <s v="USA"/>
    <x v="0"/>
    <n v="0.73000001907348633"/>
    <n v="90"/>
    <n v="189"/>
    <n v="3"/>
    <n v="0.60000002384185791"/>
    <n v="0.41999998688697815"/>
    <x v="28"/>
    <x v="0"/>
    <n v="730.00001907348633"/>
  </r>
  <r>
    <x v="34"/>
    <s v="Chappell Roan"/>
    <x v="11"/>
    <s v="USA"/>
    <x v="0"/>
    <n v="0.72000002861022949"/>
    <n v="130"/>
    <n v="251"/>
    <n v="4"/>
    <n v="0.72000002861022949"/>
    <n v="0.80000001192092896"/>
    <x v="0"/>
    <x v="0"/>
    <n v="720.00002861022949"/>
  </r>
  <r>
    <x v="35"/>
    <s v="Chappell Roan"/>
    <x v="11"/>
    <s v="USA"/>
    <x v="0"/>
    <n v="0.70999997854232788"/>
    <n v="116"/>
    <n v="224"/>
    <n v="5"/>
    <n v="0.69999998807907104"/>
    <n v="0.77999997138977051"/>
    <x v="15"/>
    <x v="0"/>
    <n v="709.99997854232788"/>
  </r>
  <r>
    <x v="36"/>
    <s v="Djo"/>
    <x v="17"/>
    <s v="USA"/>
    <x v="0"/>
    <n v="0.69999998807907104"/>
    <n v="139"/>
    <n v="196"/>
    <n v="3"/>
    <n v="0.51999998092651367"/>
    <n v="0.63999998569488525"/>
    <x v="29"/>
    <x v="0"/>
    <n v="699.99998807907104"/>
  </r>
  <r>
    <x v="37"/>
    <s v="Kendrick Lamar"/>
    <x v="3"/>
    <s v="USA"/>
    <x v="1"/>
    <n v="0.68999999761581421"/>
    <n v="100"/>
    <n v="285"/>
    <n v="2"/>
    <n v="0.69999998807907104"/>
    <n v="0.68000000715255737"/>
    <x v="30"/>
    <x v="0"/>
    <n v="689.99999761581421"/>
  </r>
  <r>
    <x v="38"/>
    <s v="Ariana Grande"/>
    <x v="7"/>
    <s v="USA"/>
    <x v="0"/>
    <n v="0.68000000715255737"/>
    <n v="72"/>
    <n v="218"/>
    <n v="1"/>
    <n v="0.47999998927116394"/>
    <n v="0.40000000596046448"/>
    <x v="31"/>
    <x v="0"/>
    <n v="680.00000715255737"/>
  </r>
  <r>
    <x v="39"/>
    <s v="Olivia Rodrigo"/>
    <x v="4"/>
    <s v="USA"/>
    <x v="0"/>
    <n v="0.67000001668930054"/>
    <n v="91"/>
    <n v="218"/>
    <n v="1"/>
    <n v="0.51999998092651367"/>
    <n v="0.57999998331069946"/>
    <x v="31"/>
    <x v="0"/>
    <n v="670.00001668930054"/>
  </r>
  <r>
    <x v="40"/>
    <s v="Cyril &amp; Violet Skies"/>
    <x v="0"/>
    <s v="Netherlands"/>
    <x v="0"/>
    <n v="0.6600000262260437"/>
    <n v="90"/>
    <n v="184"/>
    <n v="3"/>
    <n v="0.6600000262260437"/>
    <n v="0.54000002145767212"/>
    <x v="32"/>
    <x v="0"/>
    <n v="660.0000262260437"/>
  </r>
  <r>
    <x v="41"/>
    <s v="Coldplay"/>
    <x v="18"/>
    <s v="UK"/>
    <x v="0"/>
    <n v="0.63999998569488525"/>
    <n v="88"/>
    <n v="269"/>
    <n v="4"/>
    <n v="0.46000000834465027"/>
    <n v="0.54000002145767212"/>
    <x v="33"/>
    <x v="0"/>
    <n v="639.99998569488525"/>
  </r>
  <r>
    <x v="42"/>
    <s v="Clairo"/>
    <x v="2"/>
    <s v="USA"/>
    <x v="0"/>
    <n v="0.62999999523162842"/>
    <n v="97"/>
    <n v="164"/>
    <n v="22"/>
    <n v="0.69999998807907104"/>
    <n v="0.51999998092651367"/>
    <x v="34"/>
    <x v="1"/>
    <n v="629.99999523162842"/>
  </r>
  <r>
    <x v="43"/>
    <s v="Kate Bush"/>
    <x v="19"/>
    <s v="UK"/>
    <x v="0"/>
    <n v="0.62000000476837158"/>
    <n v="112"/>
    <n v="301"/>
    <n v="3"/>
    <n v="0.40999999642372131"/>
    <n v="0.68000000715255737"/>
    <x v="35"/>
    <x v="0"/>
    <n v="620.00000476837158"/>
  </r>
  <r>
    <x v="44"/>
    <s v="Olivia Rodrigo"/>
    <x v="20"/>
    <s v="USA"/>
    <x v="0"/>
    <n v="0.61000001430511475"/>
    <n v="166"/>
    <n v="178"/>
    <n v="1"/>
    <n v="0.56000000238418579"/>
    <n v="0.89999997615814209"/>
    <x v="18"/>
    <x v="0"/>
    <n v="610.00001430511475"/>
  </r>
  <r>
    <x v="45"/>
    <s v="Taylor Swift"/>
    <x v="0"/>
    <s v="USA"/>
    <x v="0"/>
    <n v="0.60000002384185791"/>
    <n v="160"/>
    <n v="219"/>
    <n v="1"/>
    <n v="0.64999997615814209"/>
    <n v="0.80000001192092896"/>
    <x v="7"/>
    <x v="0"/>
    <n v="600.00002384185791"/>
  </r>
  <r>
    <x v="46"/>
    <s v="Sabrina Carpenter &amp; Jimin"/>
    <x v="21"/>
    <s v="USA/S.Korea"/>
    <x v="0"/>
    <n v="0.5899999737739563"/>
    <n v="104"/>
    <n v="178"/>
    <n v="2"/>
    <n v="0.81999999284744263"/>
    <n v="0.74000000953674316"/>
    <x v="18"/>
    <x v="0"/>
    <n v="589.9999737739563"/>
  </r>
  <r>
    <x v="47"/>
    <s v="Gracie Abrams"/>
    <x v="2"/>
    <s v="USA"/>
    <x v="0"/>
    <n v="0.57999998331069946"/>
    <n v="97"/>
    <n v="185"/>
    <n v="1"/>
    <n v="0.63999998569488525"/>
    <n v="0.55000001192092896"/>
    <x v="36"/>
    <x v="0"/>
    <n v="579.99998331069946"/>
  </r>
  <r>
    <x v="48"/>
    <s v="Beyoncé"/>
    <x v="9"/>
    <s v="USA"/>
    <x v="0"/>
    <n v="0.56999999284744263"/>
    <n v="90"/>
    <n v="218"/>
    <n v="4"/>
    <n v="0.60000002384185791"/>
    <n v="0.56000000238418579"/>
    <x v="31"/>
    <x v="0"/>
    <n v="569.99999284744263"/>
  </r>
  <r>
    <x v="49"/>
    <s v="Ed Sheeran"/>
    <x v="22"/>
    <s v="UK"/>
    <x v="0"/>
    <n v="0.56000000238418579"/>
    <n v="88"/>
    <n v="196"/>
    <n v="3"/>
    <n v="0.69999998807907104"/>
    <n v="0.51999998092651367"/>
    <x v="29"/>
    <x v="0"/>
    <n v="560.00000238418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B20450-7B22-4E5C-99FF-CDBB883DDE50}" name="PivotTable2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85:L88" firstHeaderRow="1" firstDataRow="1" firstDataCol="1"/>
  <pivotFields count="14">
    <pivotField dataField="1" showAll="0">
      <items count="51">
        <item x="15"/>
        <item x="1"/>
        <item x="49"/>
        <item x="25"/>
        <item x="8"/>
        <item x="27"/>
        <item x="5"/>
        <item x="48"/>
        <item x="12"/>
        <item x="18"/>
        <item x="0"/>
        <item x="36"/>
        <item x="2"/>
        <item x="46"/>
        <item x="28"/>
        <item x="35"/>
        <item x="17"/>
        <item x="19"/>
        <item x="22"/>
        <item x="44"/>
        <item x="7"/>
        <item x="31"/>
        <item x="16"/>
        <item x="29"/>
        <item x="20"/>
        <item x="37"/>
        <item x="9"/>
        <item x="24"/>
        <item x="26"/>
        <item x="11"/>
        <item x="32"/>
        <item x="13"/>
        <item x="6"/>
        <item x="34"/>
        <item x="3"/>
        <item x="42"/>
        <item x="43"/>
        <item x="45"/>
        <item x="14"/>
        <item x="40"/>
        <item x="4"/>
        <item x="21"/>
        <item x="47"/>
        <item x="10"/>
        <item x="23"/>
        <item x="39"/>
        <item x="30"/>
        <item x="38"/>
        <item x="33"/>
        <item x="41"/>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items count="3">
        <item x="0"/>
        <item x="1"/>
        <item t="default"/>
      </items>
    </pivotField>
    <pivotField showAll="0"/>
  </pivotFields>
  <rowFields count="1">
    <field x="11"/>
  </rowFields>
  <rowItems count="3">
    <i>
      <x v="1"/>
    </i>
    <i>
      <x v="2"/>
    </i>
    <i t="grand">
      <x/>
    </i>
  </rowItems>
  <colItems count="1">
    <i/>
  </colItems>
  <dataFields count="1">
    <dataField name="Count of song_title"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D3E6B2-57FB-43FD-AC42-76F22294B3FD}" name="PivotTable1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85:I88" firstHeaderRow="1" firstDataRow="1" firstDataCol="1"/>
  <pivotFields count="14">
    <pivotField dataField="1" showAll="0">
      <items count="51">
        <item x="15"/>
        <item x="1"/>
        <item x="49"/>
        <item x="25"/>
        <item x="8"/>
        <item x="27"/>
        <item x="5"/>
        <item x="48"/>
        <item x="12"/>
        <item x="18"/>
        <item x="0"/>
        <item x="36"/>
        <item x="2"/>
        <item x="46"/>
        <item x="28"/>
        <item x="35"/>
        <item x="17"/>
        <item x="19"/>
        <item x="22"/>
        <item x="44"/>
        <item x="7"/>
        <item x="31"/>
        <item x="16"/>
        <item x="29"/>
        <item x="20"/>
        <item x="37"/>
        <item x="9"/>
        <item x="24"/>
        <item x="26"/>
        <item x="11"/>
        <item x="32"/>
        <item x="13"/>
        <item x="6"/>
        <item x="34"/>
        <item x="3"/>
        <item x="42"/>
        <item x="43"/>
        <item x="45"/>
        <item x="14"/>
        <item x="40"/>
        <item x="4"/>
        <item x="21"/>
        <item x="47"/>
        <item x="10"/>
        <item x="23"/>
        <item x="39"/>
        <item x="30"/>
        <item x="38"/>
        <item x="33"/>
        <item x="41"/>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items count="3">
        <item x="0"/>
        <item x="1"/>
        <item t="default"/>
      </items>
    </pivotField>
    <pivotField showAll="0"/>
  </pivotFields>
  <rowFields count="1">
    <field x="4"/>
  </rowFields>
  <rowItems count="3">
    <i>
      <x/>
    </i>
    <i>
      <x v="1"/>
    </i>
    <i t="grand">
      <x/>
    </i>
  </rowItems>
  <colItems count="1">
    <i/>
  </colItems>
  <dataFields count="1">
    <dataField name="Count of song_title"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D49D8-DDD7-43BA-97BB-BB2EA94F2A85}" name="PivotTable1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85:F88" firstHeaderRow="1" firstDataRow="1" firstDataCol="1"/>
  <pivotFields count="14">
    <pivotField dataField="1" showAll="0">
      <items count="51">
        <item x="15"/>
        <item x="1"/>
        <item x="49"/>
        <item x="25"/>
        <item x="8"/>
        <item x="27"/>
        <item x="5"/>
        <item x="48"/>
        <item x="12"/>
        <item x="18"/>
        <item x="0"/>
        <item x="36"/>
        <item x="2"/>
        <item x="46"/>
        <item x="28"/>
        <item x="35"/>
        <item x="17"/>
        <item x="19"/>
        <item x="22"/>
        <item x="44"/>
        <item x="7"/>
        <item x="31"/>
        <item x="16"/>
        <item x="29"/>
        <item x="20"/>
        <item x="37"/>
        <item x="9"/>
        <item x="24"/>
        <item x="26"/>
        <item x="11"/>
        <item x="32"/>
        <item x="13"/>
        <item x="6"/>
        <item x="34"/>
        <item x="3"/>
        <item x="42"/>
        <item x="43"/>
        <item x="45"/>
        <item x="14"/>
        <item x="40"/>
        <item x="4"/>
        <item x="21"/>
        <item x="47"/>
        <item x="10"/>
        <item x="23"/>
        <item x="39"/>
        <item x="30"/>
        <item x="38"/>
        <item x="33"/>
        <item x="41"/>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axis="axisRow" showAll="0">
      <items count="3">
        <item x="0"/>
        <item x="1"/>
        <item t="default"/>
      </items>
    </pivotField>
    <pivotField showAll="0"/>
  </pivotFields>
  <rowFields count="1">
    <field x="12"/>
  </rowFields>
  <rowItems count="3">
    <i>
      <x/>
    </i>
    <i>
      <x v="1"/>
    </i>
    <i t="grand">
      <x/>
    </i>
  </rowItems>
  <colItems count="1">
    <i/>
  </colItems>
  <dataFields count="1">
    <dataField name="Count of song_title"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4A4AA-A28D-4657-9FAD-562684E2C645}" name="PivotTable1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85:D88" firstHeaderRow="1" firstDataRow="1" firstDataCol="1"/>
  <pivotFields count="14">
    <pivotField showAll="0">
      <items count="51">
        <item x="15"/>
        <item x="1"/>
        <item x="49"/>
        <item x="25"/>
        <item x="8"/>
        <item x="27"/>
        <item x="5"/>
        <item x="48"/>
        <item x="12"/>
        <item x="18"/>
        <item x="0"/>
        <item x="36"/>
        <item x="2"/>
        <item x="46"/>
        <item x="28"/>
        <item x="35"/>
        <item x="17"/>
        <item x="19"/>
        <item x="22"/>
        <item x="44"/>
        <item x="7"/>
        <item x="31"/>
        <item x="16"/>
        <item x="29"/>
        <item x="20"/>
        <item x="37"/>
        <item x="9"/>
        <item x="24"/>
        <item x="26"/>
        <item x="11"/>
        <item x="32"/>
        <item x="13"/>
        <item x="6"/>
        <item x="34"/>
        <item x="3"/>
        <item x="42"/>
        <item x="43"/>
        <item x="45"/>
        <item x="14"/>
        <item x="40"/>
        <item x="4"/>
        <item x="21"/>
        <item x="47"/>
        <item x="10"/>
        <item x="23"/>
        <item x="39"/>
        <item x="30"/>
        <item x="38"/>
        <item x="33"/>
        <item x="41"/>
        <item t="default"/>
      </items>
    </pivotField>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showAll="0">
      <items count="4">
        <item x="0"/>
        <item x="1"/>
        <item x="2"/>
        <item t="default"/>
      </items>
    </pivotField>
    <pivotField axis="axisRow" showAll="0">
      <items count="3">
        <item x="0"/>
        <item x="1"/>
        <item t="default"/>
      </items>
    </pivotField>
    <pivotField showAll="0"/>
  </pivotFields>
  <rowFields count="1">
    <field x="12"/>
  </rowFields>
  <rowItems count="3">
    <i>
      <x/>
    </i>
    <i>
      <x v="1"/>
    </i>
    <i t="grand">
      <x/>
    </i>
  </rowItems>
  <colItems count="1">
    <i/>
  </colItems>
  <dataFields count="1">
    <dataField name="Average of peak_global_chart_position" fld="8" subtotal="average" baseField="12"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06BC89-FF0A-403F-AE1E-24F9E91F2E99}"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5:B96" firstHeaderRow="1" firstDataRow="1" firstDataCol="1"/>
  <pivotFields count="14">
    <pivotField axis="axisRow" showAll="0" measureFilter="1" sortType="descending">
      <items count="51">
        <item x="15"/>
        <item x="1"/>
        <item x="49"/>
        <item x="25"/>
        <item x="8"/>
        <item x="27"/>
        <item x="5"/>
        <item x="48"/>
        <item x="12"/>
        <item x="18"/>
        <item x="0"/>
        <item x="36"/>
        <item x="2"/>
        <item x="46"/>
        <item x="28"/>
        <item x="35"/>
        <item x="17"/>
        <item x="19"/>
        <item x="22"/>
        <item x="44"/>
        <item x="7"/>
        <item x="31"/>
        <item x="16"/>
        <item x="29"/>
        <item x="20"/>
        <item x="37"/>
        <item x="9"/>
        <item x="24"/>
        <item x="26"/>
        <item x="11"/>
        <item x="32"/>
        <item x="13"/>
        <item x="6"/>
        <item x="34"/>
        <item x="3"/>
        <item x="42"/>
        <item x="43"/>
        <item x="45"/>
        <item x="14"/>
        <item x="40"/>
        <item x="4"/>
        <item x="21"/>
        <item x="47"/>
        <item x="10"/>
        <item x="23"/>
        <item x="39"/>
        <item x="30"/>
        <item x="38"/>
        <item x="33"/>
        <item x="41"/>
        <item t="default"/>
      </items>
      <autoSortScope>
        <pivotArea dataOnly="0" outline="0" fieldPosition="0">
          <references count="1">
            <reference field="4294967294" count="1" selected="0">
              <x v="0"/>
            </reference>
          </references>
        </pivotArea>
      </autoSortScope>
    </pivotField>
    <pivotField showAll="0"/>
    <pivotField showAll="0">
      <items count="24">
        <item x="15"/>
        <item x="18"/>
        <item x="19"/>
        <item x="9"/>
        <item x="8"/>
        <item x="10"/>
        <item x="3"/>
        <item x="13"/>
        <item x="16"/>
        <item x="6"/>
        <item x="2"/>
        <item x="17"/>
        <item x="1"/>
        <item x="14"/>
        <item x="0"/>
        <item x="20"/>
        <item x="4"/>
        <item x="22"/>
        <item x="21"/>
        <item x="7"/>
        <item x="5"/>
        <item x="12"/>
        <item x="1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4">
        <item x="0"/>
        <item x="1"/>
        <item x="2"/>
        <item t="default"/>
      </items>
    </pivotField>
    <pivotField showAll="0">
      <items count="3">
        <item x="0"/>
        <item x="1"/>
        <item t="default"/>
      </items>
    </pivotField>
    <pivotField showAll="0"/>
  </pivotFields>
  <rowFields count="1">
    <field x="0"/>
  </rowFields>
  <rowItems count="11">
    <i>
      <x v="10"/>
    </i>
    <i>
      <x v="1"/>
    </i>
    <i>
      <x v="12"/>
    </i>
    <i>
      <x v="34"/>
    </i>
    <i>
      <x v="40"/>
    </i>
    <i>
      <x v="6"/>
    </i>
    <i>
      <x v="32"/>
    </i>
    <i>
      <x v="20"/>
    </i>
    <i>
      <x v="4"/>
    </i>
    <i>
      <x v="26"/>
    </i>
    <i t="grand">
      <x/>
    </i>
  </rowItems>
  <colItems count="1">
    <i/>
  </colItems>
  <dataFields count="1">
    <dataField name="Sum of streams_2025_billion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F5F03-446A-4705-8FAE-E3158FB03AFC}"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0:H80" firstHeaderRow="1" firstDataRow="1" firstDataCol="1"/>
  <pivotFields count="12">
    <pivotField axis="axisRow" showAll="0">
      <items count="50">
        <item x="7"/>
        <item x="3"/>
        <item x="35"/>
        <item x="25"/>
        <item x="5"/>
        <item x="16"/>
        <item x="11"/>
        <item x="17"/>
        <item x="46"/>
        <item x="28"/>
        <item x="38"/>
        <item x="23"/>
        <item x="2"/>
        <item x="14"/>
        <item x="6"/>
        <item x="21"/>
        <item x="32"/>
        <item x="9"/>
        <item x="34"/>
        <item x="48"/>
        <item x="20"/>
        <item x="41"/>
        <item x="39"/>
        <item x="29"/>
        <item x="44"/>
        <item x="13"/>
        <item x="8"/>
        <item x="15"/>
        <item x="31"/>
        <item x="40"/>
        <item x="22"/>
        <item x="19"/>
        <item x="43"/>
        <item x="37"/>
        <item x="12"/>
        <item x="30"/>
        <item x="10"/>
        <item x="42"/>
        <item x="24"/>
        <item x="4"/>
        <item x="27"/>
        <item x="18"/>
        <item x="33"/>
        <item x="1"/>
        <item x="36"/>
        <item x="0"/>
        <item x="45"/>
        <item x="26"/>
        <item x="47"/>
        <item t="default"/>
      </items>
    </pivotField>
    <pivotField showAll="0">
      <items count="31">
        <item x="19"/>
        <item x="15"/>
        <item x="14"/>
        <item x="29"/>
        <item x="20"/>
        <item x="2"/>
        <item x="8"/>
        <item x="22"/>
        <item x="5"/>
        <item x="25"/>
        <item x="26"/>
        <item x="9"/>
        <item x="17"/>
        <item x="28"/>
        <item x="4"/>
        <item x="23"/>
        <item x="1"/>
        <item x="11"/>
        <item x="6"/>
        <item x="16"/>
        <item x="10"/>
        <item x="7"/>
        <item x="13"/>
        <item x="18"/>
        <item x="27"/>
        <item x="0"/>
        <item x="24"/>
        <item x="3"/>
        <item x="21"/>
        <item x="12"/>
        <item t="default"/>
      </items>
    </pivotField>
    <pivotField showAll="0">
      <items count="13">
        <item x="0"/>
        <item x="5"/>
        <item x="11"/>
        <item x="9"/>
        <item x="8"/>
        <item x="7"/>
        <item x="10"/>
        <item x="2"/>
        <item x="6"/>
        <item x="4"/>
        <item x="3"/>
        <item x="1"/>
        <item t="default"/>
      </items>
    </pivotField>
    <pivotField showAll="0">
      <items count="4">
        <item x="1"/>
        <item x="2"/>
        <item x="0"/>
        <item t="default"/>
      </items>
    </pivotField>
    <pivotField showAll="0"/>
    <pivotField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items count="3">
        <item x="0"/>
        <item x="1"/>
        <item t="default"/>
      </items>
    </pivotField>
    <pivotField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followers_million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8E8DE-260A-436B-BBA8-55D66348B8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1:G15" firstHeaderRow="0" firstDataRow="1" firstDataCol="1"/>
  <pivotFields count="15">
    <pivotField showAll="0">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pivotField>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dataField="1" showAll="0"/>
    <pivotField showAll="0"/>
    <pivotField dataField="1" showAll="0"/>
    <pivotField dataField="1" showAll="0"/>
    <pivotField showAll="0"/>
    <pivotField showAll="0"/>
    <pivotField showAll="0"/>
    <pivotField showAll="0"/>
    <pivotField axis="axisRow" showAll="0">
      <items count="4">
        <item x="0"/>
        <item x="1"/>
        <item x="2"/>
        <item t="default"/>
      </items>
    </pivotField>
  </pivotFields>
  <rowFields count="1">
    <field x="14"/>
  </rowFields>
  <rowItems count="4">
    <i>
      <x/>
    </i>
    <i>
      <x v="1"/>
    </i>
    <i>
      <x v="2"/>
    </i>
    <i t="grand">
      <x/>
    </i>
  </rowItems>
  <colFields count="1">
    <field x="-2"/>
  </colFields>
  <colItems count="3">
    <i>
      <x/>
    </i>
    <i i="1">
      <x v="1"/>
    </i>
    <i i="2">
      <x v="2"/>
    </i>
  </colItems>
  <dataFields count="3">
    <dataField name="Average of total_streams_billions" fld="6" subtotal="average" baseField="14" baseItem="0"/>
    <dataField name="Average of energy" fld="9" subtotal="average" baseField="14" baseItem="0"/>
    <dataField name="Average of danceability" fld="8" subtotal="average" baseField="14" baseItem="0"/>
  </dataFields>
  <chartFormats count="12">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14" count="1" selected="0">
            <x v="0"/>
          </reference>
        </references>
      </pivotArea>
    </chartFormat>
    <chartFormat chart="8" format="17">
      <pivotArea type="data" outline="0" fieldPosition="0">
        <references count="2">
          <reference field="4294967294" count="1" selected="0">
            <x v="0"/>
          </reference>
          <reference field="14" count="1" selected="0">
            <x v="1"/>
          </reference>
        </references>
      </pivotArea>
    </chartFormat>
    <chartFormat chart="8" format="18">
      <pivotArea type="data" outline="0" fieldPosition="0">
        <references count="2">
          <reference field="4294967294" count="1" selected="0">
            <x v="0"/>
          </reference>
          <reference field="14" count="1" selected="0">
            <x v="2"/>
          </reference>
        </references>
      </pivotArea>
    </chartFormat>
    <chartFormat chart="8" format="19" series="1">
      <pivotArea type="data" outline="0" fieldPosition="0">
        <references count="1">
          <reference field="4294967294" count="1" selected="0">
            <x v="1"/>
          </reference>
        </references>
      </pivotArea>
    </chartFormat>
    <chartFormat chart="8" format="20">
      <pivotArea type="data" outline="0" fieldPosition="0">
        <references count="2">
          <reference field="4294967294" count="1" selected="0">
            <x v="1"/>
          </reference>
          <reference field="14" count="1" selected="0">
            <x v="0"/>
          </reference>
        </references>
      </pivotArea>
    </chartFormat>
    <chartFormat chart="8" format="21">
      <pivotArea type="data" outline="0" fieldPosition="0">
        <references count="2">
          <reference field="4294967294" count="1" selected="0">
            <x v="1"/>
          </reference>
          <reference field="14" count="1" selected="0">
            <x v="1"/>
          </reference>
        </references>
      </pivotArea>
    </chartFormat>
    <chartFormat chart="8" format="22">
      <pivotArea type="data" outline="0" fieldPosition="0">
        <references count="2">
          <reference field="4294967294" count="1" selected="0">
            <x v="1"/>
          </reference>
          <reference field="14" count="1" selected="0">
            <x v="2"/>
          </reference>
        </references>
      </pivotArea>
    </chartFormat>
    <chartFormat chart="8" format="23" series="1">
      <pivotArea type="data" outline="0" fieldPosition="0">
        <references count="1">
          <reference field="4294967294" count="1" selected="0">
            <x v="2"/>
          </reference>
        </references>
      </pivotArea>
    </chartFormat>
    <chartFormat chart="8" format="24">
      <pivotArea type="data" outline="0" fieldPosition="0">
        <references count="2">
          <reference field="4294967294" count="1" selected="0">
            <x v="2"/>
          </reference>
          <reference field="14" count="1" selected="0">
            <x v="0"/>
          </reference>
        </references>
      </pivotArea>
    </chartFormat>
    <chartFormat chart="8" format="25">
      <pivotArea type="data" outline="0" fieldPosition="0">
        <references count="2">
          <reference field="4294967294" count="1" selected="0">
            <x v="2"/>
          </reference>
          <reference field="14" count="1" selected="0">
            <x v="1"/>
          </reference>
        </references>
      </pivotArea>
    </chartFormat>
    <chartFormat chart="8" format="26">
      <pivotArea type="data" outline="0" fieldPosition="0">
        <references count="2">
          <reference field="429496729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5ED3FD-AD19-4762-8237-20FB4790F34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0:E35" firstHeaderRow="1" firstDataRow="1" firstDataCol="1"/>
  <pivotFields count="12">
    <pivotField axis="axisRow" showAll="0" measureFilter="1">
      <items count="50">
        <item x="7"/>
        <item x="3"/>
        <item x="35"/>
        <item x="25"/>
        <item x="5"/>
        <item x="16"/>
        <item x="11"/>
        <item x="17"/>
        <item x="46"/>
        <item x="28"/>
        <item x="38"/>
        <item x="23"/>
        <item x="2"/>
        <item x="14"/>
        <item x="6"/>
        <item x="21"/>
        <item x="32"/>
        <item x="9"/>
        <item x="34"/>
        <item x="48"/>
        <item x="20"/>
        <item x="41"/>
        <item x="39"/>
        <item x="29"/>
        <item x="44"/>
        <item x="13"/>
        <item x="8"/>
        <item x="15"/>
        <item x="31"/>
        <item x="40"/>
        <item x="22"/>
        <item x="19"/>
        <item x="43"/>
        <item x="37"/>
        <item x="12"/>
        <item x="30"/>
        <item x="10"/>
        <item x="42"/>
        <item x="24"/>
        <item x="4"/>
        <item x="27"/>
        <item x="18"/>
        <item x="33"/>
        <item x="1"/>
        <item x="36"/>
        <item x="0"/>
        <item x="45"/>
        <item x="26"/>
        <item x="47"/>
        <item t="default"/>
      </items>
    </pivotField>
    <pivotField showAll="0">
      <items count="31">
        <item x="19"/>
        <item x="15"/>
        <item x="14"/>
        <item x="29"/>
        <item x="20"/>
        <item x="2"/>
        <item x="8"/>
        <item x="22"/>
        <item x="5"/>
        <item x="25"/>
        <item x="26"/>
        <item x="9"/>
        <item x="17"/>
        <item x="28"/>
        <item x="4"/>
        <item x="23"/>
        <item x="1"/>
        <item x="11"/>
        <item x="6"/>
        <item x="16"/>
        <item x="10"/>
        <item x="7"/>
        <item x="13"/>
        <item x="18"/>
        <item x="27"/>
        <item x="0"/>
        <item x="24"/>
        <item x="3"/>
        <item x="21"/>
        <item x="12"/>
        <item t="default"/>
      </items>
    </pivotField>
    <pivotField showAll="0">
      <items count="13">
        <item x="0"/>
        <item x="5"/>
        <item x="11"/>
        <item x="9"/>
        <item x="8"/>
        <item x="7"/>
        <item x="10"/>
        <item x="2"/>
        <item x="6"/>
        <item x="4"/>
        <item x="3"/>
        <item x="1"/>
        <item t="default"/>
      </items>
    </pivotField>
    <pivotField showAll="0">
      <items count="4">
        <item x="1"/>
        <item x="2"/>
        <item x="0"/>
        <item t="default"/>
      </items>
    </pivotField>
    <pivotField showAll="0"/>
    <pivotField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pivotField showAll="0">
      <items count="3">
        <item x="0"/>
        <item x="1"/>
        <item t="default"/>
      </items>
    </pivotField>
    <pivotField showAll="0"/>
  </pivotFields>
  <rowFields count="1">
    <field x="0"/>
  </rowFields>
  <rowItems count="5">
    <i>
      <x v="3"/>
    </i>
    <i>
      <x v="5"/>
    </i>
    <i>
      <x v="15"/>
    </i>
    <i>
      <x v="26"/>
    </i>
    <i t="grand">
      <x/>
    </i>
  </rowItems>
  <colItems count="1">
    <i/>
  </colItems>
  <dataFields count="1">
    <dataField name="Sum of grammy_wins"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A82F31-FB33-42AF-871C-33A89E1B73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C22" firstHeaderRow="0" firstDataRow="1" firstDataCol="1"/>
  <pivotFields count="15">
    <pivotField dataField="1" showAll="0">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pivotField>
    <pivotField axis="axisRow" showAll="0" measureFilter="1" sortType="descending">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autoSortScope>
        <pivotArea dataOnly="0" outline="0" fieldPosition="0">
          <references count="1">
            <reference field="4294967294" count="1" selected="0">
              <x v="0"/>
            </reference>
          </references>
        </pivotArea>
      </autoSortScope>
    </pivotField>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s>
  <rowFields count="1">
    <field x="1"/>
  </rowFields>
  <rowItems count="11">
    <i>
      <x v="18"/>
    </i>
    <i>
      <x v="26"/>
    </i>
    <i>
      <x v="73"/>
    </i>
    <i>
      <x v="28"/>
    </i>
    <i>
      <x v="67"/>
    </i>
    <i>
      <x v="47"/>
    </i>
    <i>
      <x v="2"/>
    </i>
    <i>
      <x v="52"/>
    </i>
    <i>
      <x v="7"/>
    </i>
    <i>
      <x v="31"/>
    </i>
    <i t="grand">
      <x/>
    </i>
  </rowItems>
  <colFields count="1">
    <field x="-2"/>
  </colFields>
  <colItems count="2">
    <i>
      <x/>
    </i>
    <i i="1">
      <x v="1"/>
    </i>
  </colItems>
  <dataFields count="2">
    <dataField name="Sum of total_streams_billions" fld="6" baseField="0" baseItem="0"/>
    <dataField name="Count of song_title"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DD4890-2FC1-463F-AC7E-30D115D1C26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B34" firstHeaderRow="1" firstDataRow="1" firstDataCol="1"/>
  <pivotFields count="12">
    <pivotField axis="axisRow" showAll="0" measureFilter="1" sortType="descending">
      <items count="50">
        <item x="7"/>
        <item x="3"/>
        <item x="35"/>
        <item x="25"/>
        <item x="5"/>
        <item x="16"/>
        <item x="11"/>
        <item x="17"/>
        <item x="46"/>
        <item x="28"/>
        <item x="38"/>
        <item x="23"/>
        <item x="2"/>
        <item x="14"/>
        <item x="6"/>
        <item x="21"/>
        <item x="32"/>
        <item x="9"/>
        <item x="34"/>
        <item x="48"/>
        <item x="20"/>
        <item x="41"/>
        <item x="39"/>
        <item x="29"/>
        <item x="44"/>
        <item x="13"/>
        <item x="8"/>
        <item x="15"/>
        <item x="31"/>
        <item x="40"/>
        <item x="22"/>
        <item x="19"/>
        <item x="43"/>
        <item x="37"/>
        <item x="12"/>
        <item x="30"/>
        <item x="10"/>
        <item x="42"/>
        <item x="24"/>
        <item x="4"/>
        <item x="27"/>
        <item x="18"/>
        <item x="33"/>
        <item x="1"/>
        <item x="36"/>
        <item x="0"/>
        <item x="45"/>
        <item x="26"/>
        <item x="47"/>
        <item t="default"/>
      </items>
      <autoSortScope>
        <pivotArea dataOnly="0" outline="0" fieldPosition="0">
          <references count="1">
            <reference field="4294967294" count="1" selected="0">
              <x v="0"/>
            </reference>
          </references>
        </pivotArea>
      </autoSortScope>
    </pivotField>
    <pivotField showAll="0"/>
    <pivotField showAll="0">
      <items count="13">
        <item x="0"/>
        <item x="5"/>
        <item x="11"/>
        <item x="9"/>
        <item x="8"/>
        <item x="7"/>
        <item x="10"/>
        <item x="2"/>
        <item x="6"/>
        <item x="4"/>
        <item x="3"/>
        <item x="1"/>
        <item t="default"/>
      </items>
    </pivotField>
    <pivotField showAll="0">
      <items count="4">
        <item x="1"/>
        <item x="2"/>
        <item x="0"/>
        <item t="default"/>
      </items>
    </pivotField>
    <pivotField showAll="0"/>
    <pivotField dataField="1"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items count="3">
        <item x="0"/>
        <item x="1"/>
        <item t="default"/>
      </items>
    </pivotField>
    <pivotField showAll="0"/>
  </pivotFields>
  <rowFields count="1">
    <field x="0"/>
  </rowFields>
  <rowItems count="4">
    <i>
      <x v="45"/>
    </i>
    <i>
      <x v="43"/>
    </i>
    <i>
      <x v="12"/>
    </i>
    <i t="grand">
      <x/>
    </i>
  </rowItems>
  <colItems count="1">
    <i/>
  </colItems>
  <dataFields count="1">
    <dataField name="Sum of monthly_listeners" fld="5"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45"/>
          </reference>
        </references>
      </pivotArea>
    </chartFormat>
    <chartFormat chart="3" format="7">
      <pivotArea type="data" outline="0" fieldPosition="0">
        <references count="2">
          <reference field="4294967294" count="1" selected="0">
            <x v="0"/>
          </reference>
          <reference field="0" count="1" selected="0">
            <x v="43"/>
          </reference>
        </references>
      </pivotArea>
    </chartFormat>
    <chartFormat chart="3" format="8">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5575DD-168D-4411-870D-46BEDE2C6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1:K17" firstHeaderRow="1" firstDataRow="1" firstDataCol="1"/>
  <pivotFields count="15">
    <pivotField showAll="0">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pivotField>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axis="axisRow" showAll="0" measureFilter="1" sortType="descending">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autoSortScope>
        <pivotArea dataOnly="0" outline="0" fieldPosition="0">
          <references count="1">
            <reference field="4294967294" count="1" selected="0">
              <x v="0"/>
            </reference>
          </references>
        </pivotArea>
      </autoSortScope>
    </pivotField>
    <pivotField showAll="0">
      <items count="18">
        <item x="3"/>
        <item x="0"/>
        <item x="5"/>
        <item x="16"/>
        <item x="9"/>
        <item x="15"/>
        <item x="10"/>
        <item x="12"/>
        <item x="13"/>
        <item x="14"/>
        <item x="7"/>
        <item x="11"/>
        <item x="8"/>
        <item x="6"/>
        <item x="1"/>
        <item x="2"/>
        <item x="4"/>
        <item t="default"/>
      </items>
    </pivotField>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s>
  <rowFields count="1">
    <field x="2"/>
  </rowFields>
  <rowItems count="6">
    <i>
      <x v="22"/>
    </i>
    <i>
      <x v="17"/>
    </i>
    <i>
      <x v="13"/>
    </i>
    <i>
      <x v="37"/>
    </i>
    <i>
      <x v="2"/>
    </i>
    <i t="grand">
      <x/>
    </i>
  </rowItems>
  <colItems count="1">
    <i/>
  </colItems>
  <dataFields count="1">
    <dataField name="Sum of total_streams_billions"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D72478-7718-4AA6-A733-7BE4B0F719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1:I22" firstHeaderRow="1" firstDataRow="1" firstDataCol="1"/>
  <pivotFields count="15">
    <pivotField axis="axisRow" showAll="0" measureFilter="1" sortType="descending">
      <items count="101">
        <item x="48"/>
        <item x="71"/>
        <item x="84"/>
        <item x="45"/>
        <item x="27"/>
        <item x="76"/>
        <item x="85"/>
        <item x="20"/>
        <item x="79"/>
        <item x="87"/>
        <item x="15"/>
        <item x="53"/>
        <item x="73"/>
        <item x="6"/>
        <item x="0"/>
        <item x="96"/>
        <item x="93"/>
        <item x="54"/>
        <item x="26"/>
        <item x="17"/>
        <item x="25"/>
        <item x="23"/>
        <item x="33"/>
        <item x="8"/>
        <item x="34"/>
        <item x="29"/>
        <item x="49"/>
        <item x="16"/>
        <item x="21"/>
        <item x="36"/>
        <item x="95"/>
        <item x="90"/>
        <item x="40"/>
        <item x="51"/>
        <item x="97"/>
        <item x="22"/>
        <item x="69"/>
        <item x="44"/>
        <item x="47"/>
        <item x="9"/>
        <item x="35"/>
        <item x="14"/>
        <item x="59"/>
        <item x="56"/>
        <item x="88"/>
        <item x="78"/>
        <item x="89"/>
        <item x="98"/>
        <item x="92"/>
        <item x="80"/>
        <item x="13"/>
        <item x="81"/>
        <item x="37"/>
        <item x="62"/>
        <item x="30"/>
        <item x="24"/>
        <item x="18"/>
        <item x="74"/>
        <item x="60"/>
        <item x="55"/>
        <item x="43"/>
        <item x="38"/>
        <item x="4"/>
        <item x="50"/>
        <item x="12"/>
        <item x="61"/>
        <item x="65"/>
        <item x="41"/>
        <item x="91"/>
        <item x="57"/>
        <item x="7"/>
        <item x="66"/>
        <item x="42"/>
        <item x="75"/>
        <item x="28"/>
        <item x="86"/>
        <item x="10"/>
        <item x="99"/>
        <item x="19"/>
        <item x="1"/>
        <item x="83"/>
        <item x="39"/>
        <item x="2"/>
        <item x="64"/>
        <item x="46"/>
        <item x="5"/>
        <item x="94"/>
        <item x="3"/>
        <item x="72"/>
        <item x="32"/>
        <item x="67"/>
        <item x="52"/>
        <item x="82"/>
        <item x="70"/>
        <item x="31"/>
        <item x="11"/>
        <item x="58"/>
        <item x="77"/>
        <item x="63"/>
        <item x="68"/>
        <item t="default"/>
      </items>
      <autoSortScope>
        <pivotArea dataOnly="0" outline="0" fieldPosition="0">
          <references count="1">
            <reference field="4294967294" count="1" selected="0">
              <x v="0"/>
            </reference>
          </references>
        </pivotArea>
      </autoSortScope>
    </pivotField>
    <pivotField showAll="0">
      <items count="81">
        <item x="49"/>
        <item x="31"/>
        <item x="41"/>
        <item x="57"/>
        <item x="64"/>
        <item x="14"/>
        <item x="26"/>
        <item x="19"/>
        <item x="30"/>
        <item x="69"/>
        <item x="48"/>
        <item x="75"/>
        <item x="71"/>
        <item x="70"/>
        <item x="4"/>
        <item x="79"/>
        <item x="12"/>
        <item x="67"/>
        <item x="1"/>
        <item x="58"/>
        <item x="32"/>
        <item x="73"/>
        <item x="55"/>
        <item x="13"/>
        <item x="62"/>
        <item x="50"/>
        <item x="11"/>
        <item x="66"/>
        <item x="6"/>
        <item x="59"/>
        <item x="22"/>
        <item x="43"/>
        <item x="53"/>
        <item x="47"/>
        <item x="36"/>
        <item x="37"/>
        <item x="18"/>
        <item x="42"/>
        <item x="2"/>
        <item x="33"/>
        <item x="72"/>
        <item x="29"/>
        <item x="38"/>
        <item x="27"/>
        <item x="17"/>
        <item x="9"/>
        <item x="63"/>
        <item x="20"/>
        <item x="74"/>
        <item x="61"/>
        <item x="56"/>
        <item x="34"/>
        <item x="15"/>
        <item x="44"/>
        <item x="21"/>
        <item x="45"/>
        <item x="78"/>
        <item x="16"/>
        <item x="3"/>
        <item x="7"/>
        <item x="24"/>
        <item x="60"/>
        <item x="35"/>
        <item x="52"/>
        <item x="10"/>
        <item x="54"/>
        <item x="76"/>
        <item x="25"/>
        <item x="65"/>
        <item x="51"/>
        <item x="23"/>
        <item x="5"/>
        <item x="28"/>
        <item x="0"/>
        <item x="77"/>
        <item x="39"/>
        <item x="8"/>
        <item x="40"/>
        <item x="46"/>
        <item x="68"/>
        <item t="default"/>
      </items>
    </pivotField>
    <pivotField showAll="0">
      <items count="40">
        <item x="32"/>
        <item x="4"/>
        <item x="5"/>
        <item x="24"/>
        <item x="37"/>
        <item x="30"/>
        <item x="35"/>
        <item x="7"/>
        <item x="12"/>
        <item x="17"/>
        <item x="31"/>
        <item x="19"/>
        <item x="23"/>
        <item x="6"/>
        <item x="3"/>
        <item x="26"/>
        <item x="29"/>
        <item x="9"/>
        <item x="20"/>
        <item x="34"/>
        <item x="8"/>
        <item x="11"/>
        <item x="2"/>
        <item x="25"/>
        <item x="13"/>
        <item x="16"/>
        <item x="14"/>
        <item x="1"/>
        <item x="10"/>
        <item x="15"/>
        <item x="38"/>
        <item x="22"/>
        <item x="18"/>
        <item x="28"/>
        <item x="36"/>
        <item x="21"/>
        <item x="33"/>
        <item x="0"/>
        <item x="27"/>
        <item t="default"/>
      </items>
    </pivotField>
    <pivotField showAll="0"/>
    <pivotField showAll="0">
      <items count="23">
        <item x="15"/>
        <item x="12"/>
        <item x="16"/>
        <item x="20"/>
        <item x="19"/>
        <item x="21"/>
        <item x="10"/>
        <item x="11"/>
        <item x="18"/>
        <item x="14"/>
        <item x="8"/>
        <item x="9"/>
        <item x="17"/>
        <item x="3"/>
        <item x="1"/>
        <item x="2"/>
        <item x="0"/>
        <item x="5"/>
        <item x="4"/>
        <item x="6"/>
        <item x="7"/>
        <item x="13"/>
        <item t="default"/>
      </items>
    </pivotField>
    <pivotField showAll="0"/>
    <pivotField showAll="0"/>
    <pivotField showAll="0"/>
    <pivotField showAll="0"/>
    <pivotField showAll="0"/>
    <pivotField showAll="0"/>
    <pivotField showAll="0"/>
    <pivotField showAll="0"/>
    <pivotField dataField="1" showAll="0"/>
    <pivotField showAll="0">
      <items count="4">
        <item x="0"/>
        <item x="1"/>
        <item x="2"/>
        <item t="default"/>
      </items>
    </pivotField>
  </pivotFields>
  <rowFields count="1">
    <field x="0"/>
  </rowFields>
  <rowItems count="11">
    <i>
      <x v="35"/>
    </i>
    <i>
      <x v="14"/>
    </i>
    <i>
      <x v="85"/>
    </i>
    <i>
      <x v="7"/>
    </i>
    <i>
      <x v="26"/>
    </i>
    <i>
      <x v="18"/>
    </i>
    <i>
      <x v="4"/>
    </i>
    <i>
      <x v="32"/>
    </i>
    <i>
      <x v="49"/>
    </i>
    <i>
      <x v="27"/>
    </i>
    <i t="grand">
      <x/>
    </i>
  </rowItems>
  <colItems count="1">
    <i/>
  </colItems>
  <dataFields count="1">
    <dataField name="Average of streams_per_year_index" fld="13" subtotal="average" baseField="0" baseItem="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0CB0C7-79E8-4D1A-8CAE-56191C183A96}"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0:M34" firstHeaderRow="0" firstDataRow="1" firstDataCol="1"/>
  <pivotFields count="12">
    <pivotField dataField="1" showAll="0">
      <items count="50">
        <item x="7"/>
        <item x="3"/>
        <item x="35"/>
        <item x="25"/>
        <item x="5"/>
        <item x="16"/>
        <item x="11"/>
        <item x="17"/>
        <item x="46"/>
        <item x="28"/>
        <item x="38"/>
        <item x="23"/>
        <item x="2"/>
        <item x="14"/>
        <item x="6"/>
        <item x="21"/>
        <item x="32"/>
        <item x="9"/>
        <item x="34"/>
        <item x="48"/>
        <item x="20"/>
        <item x="41"/>
        <item x="39"/>
        <item x="29"/>
        <item x="44"/>
        <item x="13"/>
        <item x="8"/>
        <item x="15"/>
        <item x="31"/>
        <item x="40"/>
        <item x="22"/>
        <item x="19"/>
        <item x="43"/>
        <item x="37"/>
        <item x="12"/>
        <item x="30"/>
        <item x="10"/>
        <item x="42"/>
        <item x="24"/>
        <item x="4"/>
        <item x="27"/>
        <item x="18"/>
        <item x="33"/>
        <item x="1"/>
        <item x="36"/>
        <item x="0"/>
        <item x="45"/>
        <item x="26"/>
        <item x="47"/>
        <item t="default"/>
      </items>
    </pivotField>
    <pivotField showAll="0">
      <items count="31">
        <item x="19"/>
        <item x="15"/>
        <item x="14"/>
        <item x="29"/>
        <item x="20"/>
        <item x="2"/>
        <item x="8"/>
        <item x="22"/>
        <item x="5"/>
        <item x="25"/>
        <item x="26"/>
        <item x="9"/>
        <item x="17"/>
        <item x="28"/>
        <item x="4"/>
        <item x="23"/>
        <item x="1"/>
        <item x="11"/>
        <item x="6"/>
        <item x="16"/>
        <item x="10"/>
        <item x="7"/>
        <item x="13"/>
        <item x="18"/>
        <item x="27"/>
        <item x="0"/>
        <item x="24"/>
        <item x="3"/>
        <item x="21"/>
        <item x="12"/>
        <item t="default"/>
      </items>
    </pivotField>
    <pivotField axis="axisRow" showAll="0" measureFilter="1" sortType="descending">
      <items count="13">
        <item x="0"/>
        <item x="5"/>
        <item x="11"/>
        <item x="9"/>
        <item x="8"/>
        <item x="7"/>
        <item x="10"/>
        <item x="2"/>
        <item x="6"/>
        <item x="4"/>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pivotField showAll="0">
      <items count="3">
        <item x="0"/>
        <item x="1"/>
        <item t="default"/>
      </items>
    </pivotField>
    <pivotField showAll="0">
      <items count="22">
        <item x="14"/>
        <item x="15"/>
        <item x="7"/>
        <item x="17"/>
        <item x="19"/>
        <item x="11"/>
        <item x="8"/>
        <item x="2"/>
        <item x="3"/>
        <item x="18"/>
        <item x="5"/>
        <item x="10"/>
        <item x="4"/>
        <item x="0"/>
        <item x="12"/>
        <item x="9"/>
        <item x="1"/>
        <item x="6"/>
        <item x="16"/>
        <item x="13"/>
        <item x="20"/>
        <item t="default"/>
      </items>
    </pivotField>
  </pivotFields>
  <rowFields count="1">
    <field x="2"/>
  </rowFields>
  <rowItems count="4">
    <i>
      <x v="11"/>
    </i>
    <i>
      <x v="10"/>
    </i>
    <i>
      <x/>
    </i>
    <i t="grand">
      <x/>
    </i>
  </rowItems>
  <colFields count="1">
    <field x="-2"/>
  </colFields>
  <colItems count="2">
    <i>
      <x/>
    </i>
    <i i="1">
      <x v="1"/>
    </i>
  </colItems>
  <dataFields count="2">
    <dataField name="Sum of grammy_wins" fld="7" baseField="0" baseItem="0"/>
    <dataField name="Count of artist_name" fld="0" subtotal="count" baseField="0" baseItem="0"/>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11"/>
          </reference>
        </references>
      </pivotArea>
    </chartFormat>
    <chartFormat chart="2" format="12">
      <pivotArea type="data" outline="0" fieldPosition="0">
        <references count="2">
          <reference field="4294967294" count="1" selected="0">
            <x v="0"/>
          </reference>
          <reference field="2" count="1" selected="0">
            <x v="1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2" count="1" selected="0">
            <x v="11"/>
          </reference>
        </references>
      </pivotArea>
    </chartFormat>
    <chartFormat chart="2" format="16">
      <pivotArea type="data" outline="0" fieldPosition="0">
        <references count="2">
          <reference field="4294967294" count="1" selected="0">
            <x v="1"/>
          </reference>
          <reference field="2" count="1" selected="0">
            <x v="10"/>
          </reference>
        </references>
      </pivotArea>
    </chartFormat>
    <chartFormat chart="2" format="17">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14AE47-EADE-46B6-B605-06E98EEF920B}" autoFormatId="16" applyNumberFormats="0" applyBorderFormats="0" applyFontFormats="0" applyPatternFormats="0" applyAlignmentFormats="0" applyWidthHeightFormats="0">
  <queryTableRefresh nextId="16">
    <queryTableFields count="15">
      <queryTableField id="1" name="song_title" tableColumnId="1"/>
      <queryTableField id="2" name="artist" tableColumnId="2"/>
      <queryTableField id="3" name="primary_genre" tableColumnId="3"/>
      <queryTableField id="4" name="artist_country" tableColumnId="4"/>
      <queryTableField id="5" name="release_year" tableColumnId="5"/>
      <queryTableField id="6" name="dataset_part" tableColumnId="6"/>
      <queryTableField id="7" name="total_streams_billions" tableColumnId="7"/>
      <queryTableField id="8" name="bpm" tableColumnId="8"/>
      <queryTableField id="9" name="danceability" tableColumnId="9"/>
      <queryTableField id="10" name="energy" tableColumnId="10"/>
      <queryTableField id="11" name="valence" tableColumnId="11"/>
      <queryTableField id="12" name="acousticness" tableColumnId="12"/>
      <queryTableField id="13" name="years_since_release" tableColumnId="13"/>
      <queryTableField id="14" name="streams_per_year_index" tableColumnId="14"/>
      <queryTableField id="15" name="song_vibe_category"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8EE81E6-67C1-4EAE-A856-AB74CF917EE6}" autoFormatId="16" applyNumberFormats="0" applyBorderFormats="0" applyFontFormats="0" applyPatternFormats="0" applyAlignmentFormats="0" applyWidthHeightFormats="0">
  <queryTableRefresh nextId="13">
    <queryTableFields count="12">
      <queryTableField id="1" name="artist_name" tableColumnId="1"/>
      <queryTableField id="2" name="primary_genre" tableColumnId="2"/>
      <queryTableField id="3" name="country" tableColumnId="3"/>
      <queryTableField id="4" name="gender" tableColumnId="4"/>
      <queryTableField id="5" name="top_2025_song" tableColumnId="5"/>
      <queryTableField id="6" name="monthly_listeners" tableColumnId="6"/>
      <queryTableField id="7" name="followers_millions" tableColumnId="7"/>
      <queryTableField id="8" name="grammy_wins" tableColumnId="8"/>
      <queryTableField id="9" name="debut_year" tableColumnId="9"/>
      <queryTableField id="10" name="loyalty_ratio" tableColumnId="10"/>
      <queryTableField id="11" name="award_status" tableColumnId="11"/>
      <queryTableField id="12" name="years_in_industry"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7220D41-7449-4CA1-AAB0-1BEF924EEF2E}" autoFormatId="16" applyNumberFormats="0" applyBorderFormats="0" applyFontFormats="0" applyPatternFormats="0" applyAlignmentFormats="0" applyWidthHeightFormats="0">
  <queryTableRefresh nextId="15">
    <queryTableFields count="14">
      <queryTableField id="1" name="song_title" tableColumnId="1"/>
      <queryTableField id="2" name="artist" tableColumnId="2"/>
      <queryTableField id="3" name="primary_genre" tableColumnId="3"/>
      <queryTableField id="4" name="artist_country" tableColumnId="4"/>
      <queryTableField id="5" name="explicit" tableColumnId="5"/>
      <queryTableField id="6" name="streams_2025_billions" tableColumnId="6"/>
      <queryTableField id="7" name="bpm" tableColumnId="7"/>
      <queryTableField id="8" name="duration_seconds" tableColumnId="8"/>
      <queryTableField id="9" name="peak_global_chart_position" tableColumnId="9"/>
      <queryTableField id="10" name="danceability" tableColumnId="10"/>
      <queryTableField id="11" name="energy" tableColumnId="11"/>
      <queryTableField id="12" name="duration_minutes" tableColumnId="12"/>
      <queryTableField id="13" name="chart_performance_level" tableColumnId="13"/>
      <queryTableField id="14" name="streams_in_million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0A269829-BB27-4759-875D-2ABDD66F9C67}" sourceName="primary_genre">
  <pivotTables>
    <pivotTable tabId="6" name="PivotTable1"/>
    <pivotTable tabId="6" name="PivotTable2"/>
    <pivotTable tabId="6" name="PivotTable3"/>
    <pivotTable tabId="6" name="PivotTable4"/>
  </pivotTables>
  <data>
    <tabular pivotCacheId="1592756784">
      <items count="39">
        <i x="32" s="1"/>
        <i x="4" s="1"/>
        <i x="5" s="1"/>
        <i x="24" s="1"/>
        <i x="37" s="1"/>
        <i x="30" s="1"/>
        <i x="35" s="1"/>
        <i x="7" s="1"/>
        <i x="12" s="1"/>
        <i x="17" s="1"/>
        <i x="31" s="1"/>
        <i x="19" s="1"/>
        <i x="23" s="1"/>
        <i x="6" s="1"/>
        <i x="3" s="1"/>
        <i x="26" s="1"/>
        <i x="29" s="1"/>
        <i x="9" s="1"/>
        <i x="20" s="1"/>
        <i x="34" s="1"/>
        <i x="8" s="1"/>
        <i x="11" s="1"/>
        <i x="2" s="1"/>
        <i x="25" s="1"/>
        <i x="13" s="1"/>
        <i x="16" s="1"/>
        <i x="14" s="1"/>
        <i x="1" s="1"/>
        <i x="10" s="1"/>
        <i x="15" s="1"/>
        <i x="38" s="1"/>
        <i x="22" s="1"/>
        <i x="18" s="1"/>
        <i x="28" s="1"/>
        <i x="36" s="1"/>
        <i x="21" s="1"/>
        <i x="33" s="1"/>
        <i x="0"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5BD7C9CD-B291-4BBE-BF95-E7FD0BEE98A7}" sourceName="release_year">
  <pivotTables>
    <pivotTable tabId="6" name="PivotTable1"/>
    <pivotTable tabId="6" name="PivotTable2"/>
    <pivotTable tabId="6" name="PivotTable3"/>
    <pivotTable tabId="6" name="PivotTable4"/>
  </pivotTables>
  <data>
    <tabular pivotCacheId="1592756784">
      <items count="22">
        <i x="15" s="1"/>
        <i x="12" s="1"/>
        <i x="16" s="1"/>
        <i x="20" s="1"/>
        <i x="19" s="1"/>
        <i x="21" s="1"/>
        <i x="10" s="1"/>
        <i x="11" s="1"/>
        <i x="18" s="1"/>
        <i x="14" s="1"/>
        <i x="8" s="1"/>
        <i x="9" s="1"/>
        <i x="17" s="1"/>
        <i x="3" s="1"/>
        <i x="1" s="1"/>
        <i x="2" s="1"/>
        <i x="0" s="1"/>
        <i x="5" s="1"/>
        <i x="4" s="1"/>
        <i x="6" s="1"/>
        <i x="7"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ng_vibe_category" xr10:uid="{E3C2C837-383F-456F-A29D-29D8F57061B5}" sourceName="song_vibe_category">
  <pivotTables>
    <pivotTable tabId="6" name="PivotTable1"/>
    <pivotTable tabId="6" name="PivotTable2"/>
    <pivotTable tabId="6" name="PivotTable3"/>
    <pivotTable tabId="6" name="PivotTable4"/>
  </pivotTables>
  <data>
    <tabular pivotCacheId="159275678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F24A530-CE29-4035-9B40-BC73E62D05F6}" sourceName="country">
  <pivotTables>
    <pivotTable tabId="6" name="PivotTable6"/>
    <pivotTable tabId="6" name="PivotTable7"/>
    <pivotTable tabId="6" name="PivotTable8"/>
    <pivotTable tabId="6" name="PivotTable9"/>
  </pivotTables>
  <data>
    <tabular pivotCacheId="1446563151">
      <items count="12">
        <i x="0" s="1"/>
        <i x="5" s="1"/>
        <i x="11" s="1"/>
        <i x="9" s="1"/>
        <i x="8" s="1"/>
        <i x="7" s="1"/>
        <i x="10" s="1"/>
        <i x="2" s="1"/>
        <i x="6" s="1"/>
        <i x="4"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2EDCB8-417C-44CA-8B09-7E40A077624F}" sourceName="gender">
  <pivotTables>
    <pivotTable tabId="6" name="PivotTable6"/>
    <pivotTable tabId="6" name="PivotTable7"/>
    <pivotTable tabId="6" name="PivotTable8"/>
    <pivotTable tabId="6" name="PivotTable9"/>
  </pivotTables>
  <data>
    <tabular pivotCacheId="1446563151">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status" xr10:uid="{47CDF89A-6503-45D4-808D-245F1981BE61}" sourceName="award_status">
  <pivotTables>
    <pivotTable tabId="6" name="PivotTable6"/>
    <pivotTable tabId="6" name="PivotTable7"/>
    <pivotTable tabId="6" name="PivotTable8"/>
    <pivotTable tabId="6" name="PivotTable9"/>
  </pivotTables>
  <data>
    <tabular pivotCacheId="144656315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1" xr10:uid="{374DD7F1-6D6A-449E-B1F5-7E7ABA025CE9}" sourceName="primary_genre">
  <pivotTables>
    <pivotTable tabId="6" name="PivotTable12"/>
  </pivotTables>
  <data>
    <tabular pivotCacheId="1310014993">
      <items count="23">
        <i x="15" s="1"/>
        <i x="18" s="1"/>
        <i x="19" s="1"/>
        <i x="9" s="1"/>
        <i x="8" s="1"/>
        <i x="10" s="1"/>
        <i x="3" s="1"/>
        <i x="13" s="1"/>
        <i x="16" s="1"/>
        <i x="6" s="1"/>
        <i x="2" s="1"/>
        <i x="17" s="1"/>
        <i x="1" s="1"/>
        <i x="14" s="1"/>
        <i x="0" s="1"/>
        <i x="20" s="1"/>
        <i x="4" s="1"/>
        <i x="22" s="1"/>
        <i x="21" s="1"/>
        <i x="7" s="1"/>
        <i x="5" s="1"/>
        <i x="12"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0C410721-D452-4236-8FA0-5A1A47A3CEF9}" sourceName="explicit">
  <pivotTables>
    <pivotTable tabId="6" name="PivotTable12"/>
  </pivotTables>
  <data>
    <tabular pivotCacheId="1310014993">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t_performance_level" xr10:uid="{51F0309B-0777-4D40-82DB-267A78119163}" sourceName="chart_performance_level">
  <pivotTables>
    <pivotTable tabId="6" name="PivotTable12"/>
  </pivotTables>
  <data>
    <tabular pivotCacheId="131001499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genre 1" xr10:uid="{5450DEF1-1B25-4C95-B88B-CFD55F8BFCD8}" cache="Slicer_primary_genre1" caption="primary_genre" columnCount="2" style="SlicerStyleDark2" rowHeight="241300"/>
  <slicer name="explicit" xr10:uid="{F7DFE417-FE76-4808-B058-5CC8EE65647B}" cache="Slicer_explicit" caption="explicit" style="SlicerStyleDark2" rowHeight="432000"/>
  <slicer name="chart_performance_level" xr10:uid="{C5F0E2DA-44C7-45A0-9154-C78AE3C7797A}" cache="Slicer_chart_performance_level" caption="chart_performance_level" style="SlicerStyleDark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genre" xr10:uid="{135707B1-4E80-4E9D-8731-5ECD1925E27C}" cache="Slicer_primary_genre" caption="primary_genre" columnCount="2" style="SlicerStyleDark6" rowHeight="241300"/>
  <slicer name="release_year" xr10:uid="{018655E1-21CA-4728-92EB-D1B2FACD4357}" cache="Slicer_release_year" caption="release_year" startItem="16" columnCount="2" style="SlicerStyleDark6" rowHeight="241300"/>
  <slicer name="song_vibe_category" xr10:uid="{3C763FA0-E043-42B8-B378-532CCADDE27E}" cache="Slicer_song_vibe_category" caption="song_vibe_category" columnCount="2"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B336B9-1520-4F70-9C09-083C8E730F9F}" cache="Slicer_country" caption="country" columnCount="2" style="SlicerStyleDark5" rowHeight="241300"/>
  <slicer name="gender" xr10:uid="{346678C0-55EE-44C3-BB6F-8D824D49F337}" cache="Slicer_gender" caption="gender" style="SlicerStyleDark5" rowHeight="396000"/>
  <slicer name="award_status" xr10:uid="{A2DD6845-3AA9-49CE-A062-9A23011D51D3}" cache="Slicer_award_status" caption="award_status" style="SlicerStyleDark5"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6CFAD-F881-43A2-89C5-94241B518BE5}" name="Query1" displayName="Query1" ref="A1:O101" tableType="queryTable" totalsRowShown="0">
  <autoFilter ref="A1:O101" xr:uid="{D676CFAD-F881-43A2-89C5-94241B518BE5}"/>
  <tableColumns count="15">
    <tableColumn id="1" xr3:uid="{892972EC-6D4F-4F03-9619-174B9ADC748C}" uniqueName="1" name="song_title" queryTableFieldId="1" dataDxfId="16"/>
    <tableColumn id="2" xr3:uid="{B1479EE8-07D5-4072-9EEF-6E463592888C}" uniqueName="2" name="artist" queryTableFieldId="2" dataDxfId="15"/>
    <tableColumn id="3" xr3:uid="{08717D93-CA66-4A79-A86E-0515A68C313A}" uniqueName="3" name="primary_genre" queryTableFieldId="3" dataDxfId="14"/>
    <tableColumn id="4" xr3:uid="{9A6B4A43-090E-4C4C-9CE0-01118CB5A680}" uniqueName="4" name="artist_country" queryTableFieldId="4" dataDxfId="13"/>
    <tableColumn id="5" xr3:uid="{89715D9C-AB8A-4862-9C0F-7C63161C240D}" uniqueName="5" name="release_year" queryTableFieldId="5"/>
    <tableColumn id="6" xr3:uid="{646D6D44-13B0-48F6-BC3B-493DA2E717C3}" uniqueName="6" name="dataset_part" queryTableFieldId="6" dataDxfId="12"/>
    <tableColumn id="7" xr3:uid="{69E6F7EE-AA6D-4FAF-8143-E42D286DBC36}" uniqueName="7" name="total_streams_billions" queryTableFieldId="7"/>
    <tableColumn id="8" xr3:uid="{290E182D-AADD-438C-8EE9-1E0C5E81F31E}" uniqueName="8" name="bpm" queryTableFieldId="8"/>
    <tableColumn id="9" xr3:uid="{ECDA14CC-8060-4763-9717-7C6CF90D1B0B}" uniqueName="9" name="danceability" queryTableFieldId="9"/>
    <tableColumn id="10" xr3:uid="{283994E8-AB0B-4130-8AC5-CE11322DE6A3}" uniqueName="10" name="energy" queryTableFieldId="10"/>
    <tableColumn id="11" xr3:uid="{D201FE0D-F5EF-4AFD-9A5E-53EB1C85A317}" uniqueName="11" name="valence" queryTableFieldId="11"/>
    <tableColumn id="12" xr3:uid="{A7CFB047-3007-46FA-AAB2-A5C7568F38ED}" uniqueName="12" name="acousticness" queryTableFieldId="12"/>
    <tableColumn id="13" xr3:uid="{50EFDD93-345E-4086-B9BF-0CDDEADC870A}" uniqueName="13" name="years_since_release" queryTableFieldId="13"/>
    <tableColumn id="14" xr3:uid="{CA9D9DD7-CE3C-4925-B5F2-A3C68C097542}" uniqueName="14" name="streams_per_year_index" queryTableFieldId="14"/>
    <tableColumn id="15" xr3:uid="{932BB89B-FBD2-4A75-ADD6-BB0CC6E1CBC4}" uniqueName="15" name="song_vibe_category" queryTableFieldId="15"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F07B24-3A5E-4B86-95AB-824E40E7B0A2}" name="Query2" displayName="Query2" ref="A1:L51" tableType="queryTable" totalsRowShown="0">
  <autoFilter ref="A1:L51" xr:uid="{2DF07B24-3A5E-4B86-95AB-824E40E7B0A2}"/>
  <tableColumns count="12">
    <tableColumn id="1" xr3:uid="{B74B09F1-B8F4-4627-835C-9832A79908F0}" uniqueName="1" name="artist_name" queryTableFieldId="1" dataDxfId="10"/>
    <tableColumn id="2" xr3:uid="{7F9ED8E3-1D1F-415B-8A20-82BDE908EA47}" uniqueName="2" name="primary_genre" queryTableFieldId="2" dataDxfId="9"/>
    <tableColumn id="3" xr3:uid="{428A98A6-2FF6-4A84-841A-A686EF4B598C}" uniqueName="3" name="country" queryTableFieldId="3" dataDxfId="8"/>
    <tableColumn id="4" xr3:uid="{1F0D7C0C-5123-44F0-9E77-924BB4D63774}" uniqueName="4" name="gender" queryTableFieldId="4" dataDxfId="7"/>
    <tableColumn id="5" xr3:uid="{EB3E9B85-1A77-4EA2-A546-D76129321BAB}" uniqueName="5" name="top_2025_song" queryTableFieldId="5" dataDxfId="6"/>
    <tableColumn id="6" xr3:uid="{0A7BBF1F-0108-47A3-86D5-864FF320E033}" uniqueName="6" name="monthly_listeners" queryTableFieldId="6"/>
    <tableColumn id="7" xr3:uid="{45636715-655E-48C0-B076-D6834F65BE0A}" uniqueName="7" name="followers_millions" queryTableFieldId="7"/>
    <tableColumn id="8" xr3:uid="{A1532C58-2E33-4754-8056-315461412E3E}" uniqueName="8" name="grammy_wins" queryTableFieldId="8"/>
    <tableColumn id="9" xr3:uid="{01300964-7906-4B87-A166-CD38F19A1C9E}" uniqueName="9" name="debut_year" queryTableFieldId="9"/>
    <tableColumn id="10" xr3:uid="{57A769CD-2783-48D0-A5EF-E6ADDEB0B951}" uniqueName="10" name="loyalty_ratio" queryTableFieldId="10"/>
    <tableColumn id="11" xr3:uid="{D28E0317-002A-42ED-9AFC-D3273C928A9B}" uniqueName="11" name="award_status" queryTableFieldId="11" dataDxfId="5"/>
    <tableColumn id="12" xr3:uid="{69EFE4FD-CBBC-4AB1-853A-3CEB41F1EC08}" uniqueName="12" name="years_in_industry"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EF5147-10A2-40C6-A3A8-4C75EB56D7B3}" name="Query3" displayName="Query3" ref="A1:N51" tableType="queryTable" totalsRowShown="0">
  <autoFilter ref="A1:N51" xr:uid="{24EF5147-10A2-40C6-A3A8-4C75EB56D7B3}"/>
  <tableColumns count="14">
    <tableColumn id="1" xr3:uid="{B6A2BBC5-C895-494A-B870-DAC795D6DF93}" uniqueName="1" name="song_title" queryTableFieldId="1" dataDxfId="4"/>
    <tableColumn id="2" xr3:uid="{8BED69FB-3C2A-4B99-A870-59B5757DEA91}" uniqueName="2" name="artist" queryTableFieldId="2" dataDxfId="3"/>
    <tableColumn id="3" xr3:uid="{C8C443A0-6496-4F94-9E3E-0376D9A4860A}" uniqueName="3" name="primary_genre" queryTableFieldId="3" dataDxfId="2"/>
    <tableColumn id="4" xr3:uid="{9DD4A620-1099-4039-87BF-9A9E1FB8DCEA}" uniqueName="4" name="artist_country" queryTableFieldId="4" dataDxfId="1"/>
    <tableColumn id="5" xr3:uid="{7DFBA528-CFA7-439B-A6E3-A2AA8DC28A28}" uniqueName="5" name="explicit" queryTableFieldId="5"/>
    <tableColumn id="6" xr3:uid="{91CC9698-084A-409E-BEB4-CB79942E4D87}" uniqueName="6" name="streams_2025_billions" queryTableFieldId="6"/>
    <tableColumn id="7" xr3:uid="{F7C462A1-822D-4CB1-9F24-F0FE36A85088}" uniqueName="7" name="bpm" queryTableFieldId="7"/>
    <tableColumn id="8" xr3:uid="{5F6954D0-86CE-42D0-BB13-B90686763384}" uniqueName="8" name="duration_seconds" queryTableFieldId="8"/>
    <tableColumn id="9" xr3:uid="{93F03F08-02C4-4D06-8FA4-DAB564B080ED}" uniqueName="9" name="peak_global_chart_position" queryTableFieldId="9"/>
    <tableColumn id="10" xr3:uid="{18D66B4F-FB55-45F7-84B6-342D309CBD7F}" uniqueName="10" name="danceability" queryTableFieldId="10"/>
    <tableColumn id="11" xr3:uid="{29B27B45-EE57-4A31-B40F-56AFC8C80772}" uniqueName="11" name="energy" queryTableFieldId="11"/>
    <tableColumn id="12" xr3:uid="{4D3B4E8F-4A11-4A14-BA29-932D69D2599D}" uniqueName="12" name="duration_minutes" queryTableFieldId="12"/>
    <tableColumn id="13" xr3:uid="{DC72FCCC-C761-4873-895B-32A5A1D48EA1}" uniqueName="13" name="chart_performance_level" queryTableFieldId="13" dataDxfId="0"/>
    <tableColumn id="14" xr3:uid="{839C9FD8-0B02-4C90-8BEF-62E23BF10A33}" uniqueName="14" name="streams_in_million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3CF5-BDC0-403A-BCCF-C316DEB27679}">
  <dimension ref="A1:O101"/>
  <sheetViews>
    <sheetView topLeftCell="A2" workbookViewId="0">
      <selection activeCell="B28" sqref="A2:O101"/>
    </sheetView>
  </sheetViews>
  <sheetFormatPr defaultRowHeight="14.25" x14ac:dyDescent="0.2"/>
  <cols>
    <col min="1" max="1" width="26.875" bestFit="1" customWidth="1"/>
    <col min="2" max="2" width="28.5" bestFit="1" customWidth="1"/>
    <col min="3" max="3" width="15.75" bestFit="1" customWidth="1"/>
    <col min="4" max="4" width="15.125" bestFit="1" customWidth="1"/>
    <col min="5" max="5" width="14.25" bestFit="1" customWidth="1"/>
    <col min="6" max="6" width="34.25" bestFit="1" customWidth="1"/>
    <col min="7" max="7" width="22.375" bestFit="1" customWidth="1"/>
    <col min="8" max="8" width="6.625" bestFit="1" customWidth="1"/>
    <col min="9" max="9" width="13.375" bestFit="1" customWidth="1"/>
    <col min="10" max="11" width="11.875" bestFit="1" customWidth="1"/>
    <col min="12" max="12" width="14.5" bestFit="1" customWidth="1"/>
    <col min="13" max="13" width="21.25" bestFit="1" customWidth="1"/>
    <col min="14" max="14" width="24.875" bestFit="1" customWidth="1"/>
    <col min="15" max="15" width="21"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s="1" t="s">
        <v>15</v>
      </c>
      <c r="B2" s="1" t="s">
        <v>16</v>
      </c>
      <c r="C2" s="1" t="s">
        <v>17</v>
      </c>
      <c r="D2" s="1" t="s">
        <v>18</v>
      </c>
      <c r="E2">
        <v>2019</v>
      </c>
      <c r="F2" s="1" t="s">
        <v>19</v>
      </c>
      <c r="G2">
        <v>5.2600002288818359</v>
      </c>
      <c r="H2">
        <v>171</v>
      </c>
      <c r="I2">
        <v>0.50999999046325684</v>
      </c>
      <c r="J2">
        <v>0.80000001192092896</v>
      </c>
      <c r="K2">
        <v>0.33000001311302185</v>
      </c>
      <c r="L2">
        <v>0</v>
      </c>
      <c r="M2">
        <v>7</v>
      </c>
      <c r="N2">
        <v>0.65800000000000003</v>
      </c>
      <c r="O2" s="1" t="s">
        <v>20</v>
      </c>
    </row>
    <row r="3" spans="1:15" x14ac:dyDescent="0.2">
      <c r="A3" s="1" t="s">
        <v>21</v>
      </c>
      <c r="B3" s="1" t="s">
        <v>22</v>
      </c>
      <c r="C3" s="1" t="s">
        <v>23</v>
      </c>
      <c r="D3" s="1" t="s">
        <v>24</v>
      </c>
      <c r="E3">
        <v>2017</v>
      </c>
      <c r="F3" s="1" t="s">
        <v>19</v>
      </c>
      <c r="G3">
        <v>4.9000000953674316</v>
      </c>
      <c r="H3">
        <v>96</v>
      </c>
      <c r="I3">
        <v>0.82999998331069946</v>
      </c>
      <c r="J3">
        <v>0.64999997615814209</v>
      </c>
      <c r="K3">
        <v>0.93000000715255737</v>
      </c>
      <c r="L3">
        <v>7.9999998211860657E-2</v>
      </c>
      <c r="M3">
        <v>9</v>
      </c>
      <c r="N3">
        <v>0.49</v>
      </c>
      <c r="O3" s="1" t="s">
        <v>20</v>
      </c>
    </row>
    <row r="4" spans="1:15" x14ac:dyDescent="0.2">
      <c r="A4" s="1" t="s">
        <v>25</v>
      </c>
      <c r="B4" s="1" t="s">
        <v>26</v>
      </c>
      <c r="C4" s="1" t="s">
        <v>27</v>
      </c>
      <c r="D4" s="1" t="s">
        <v>24</v>
      </c>
      <c r="E4">
        <v>2018</v>
      </c>
      <c r="F4" s="1" t="s">
        <v>19</v>
      </c>
      <c r="G4">
        <v>4.0500001907348633</v>
      </c>
      <c r="H4">
        <v>77</v>
      </c>
      <c r="I4">
        <v>0.60000002384185791</v>
      </c>
      <c r="J4">
        <v>0.44999998807907104</v>
      </c>
      <c r="K4">
        <v>0.41999998688697815</v>
      </c>
      <c r="L4">
        <v>0.28999999165534973</v>
      </c>
      <c r="M4">
        <v>8</v>
      </c>
      <c r="N4">
        <v>0.45</v>
      </c>
      <c r="O4" s="1" t="s">
        <v>20</v>
      </c>
    </row>
    <row r="5" spans="1:15" x14ac:dyDescent="0.2">
      <c r="A5" s="1" t="s">
        <v>28</v>
      </c>
      <c r="B5" s="1" t="s">
        <v>29</v>
      </c>
      <c r="C5" s="1" t="s">
        <v>30</v>
      </c>
      <c r="D5" s="1" t="s">
        <v>31</v>
      </c>
      <c r="E5">
        <v>2018</v>
      </c>
      <c r="F5" s="1" t="s">
        <v>19</v>
      </c>
      <c r="G5">
        <v>3.9800000190734863</v>
      </c>
      <c r="H5">
        <v>93</v>
      </c>
      <c r="I5">
        <v>0.75999999046325684</v>
      </c>
      <c r="J5">
        <v>0.49000000953674316</v>
      </c>
      <c r="K5">
        <v>0.8399999737739563</v>
      </c>
      <c r="L5">
        <v>0.15000000596046448</v>
      </c>
      <c r="M5">
        <v>8</v>
      </c>
      <c r="N5">
        <v>0.442</v>
      </c>
      <c r="O5" s="1" t="s">
        <v>20</v>
      </c>
    </row>
    <row r="6" spans="1:15" x14ac:dyDescent="0.2">
      <c r="A6" s="1" t="s">
        <v>32</v>
      </c>
      <c r="B6" s="1" t="s">
        <v>33</v>
      </c>
      <c r="C6" s="1" t="s">
        <v>34</v>
      </c>
      <c r="D6" s="1" t="s">
        <v>18</v>
      </c>
      <c r="E6">
        <v>2016</v>
      </c>
      <c r="F6" s="1" t="s">
        <v>19</v>
      </c>
      <c r="G6">
        <v>3.9200000762939453</v>
      </c>
      <c r="H6">
        <v>100</v>
      </c>
      <c r="I6">
        <v>0.79000002145767212</v>
      </c>
      <c r="J6">
        <v>0.62000000476837158</v>
      </c>
      <c r="K6">
        <v>0.68000000715255737</v>
      </c>
      <c r="L6">
        <v>9.0000003576278687E-2</v>
      </c>
      <c r="M6">
        <v>10</v>
      </c>
      <c r="N6">
        <v>0.35599999999999998</v>
      </c>
      <c r="O6" s="1" t="s">
        <v>20</v>
      </c>
    </row>
    <row r="7" spans="1:15" x14ac:dyDescent="0.2">
      <c r="A7" s="1" t="s">
        <v>35</v>
      </c>
      <c r="B7" s="1" t="s">
        <v>36</v>
      </c>
      <c r="C7" s="1" t="s">
        <v>27</v>
      </c>
      <c r="D7" s="1" t="s">
        <v>37</v>
      </c>
      <c r="E7">
        <v>2021</v>
      </c>
      <c r="F7" s="1" t="s">
        <v>19</v>
      </c>
      <c r="G7">
        <v>3.869999885559082</v>
      </c>
      <c r="H7">
        <v>170</v>
      </c>
      <c r="I7">
        <v>0.5899999737739563</v>
      </c>
      <c r="J7">
        <v>0.80000001192092896</v>
      </c>
      <c r="K7">
        <v>0.60000002384185791</v>
      </c>
      <c r="L7">
        <v>0</v>
      </c>
      <c r="M7">
        <v>5</v>
      </c>
      <c r="N7">
        <v>0.64500000000000002</v>
      </c>
      <c r="O7" s="1" t="s">
        <v>20</v>
      </c>
    </row>
    <row r="8" spans="1:15" x14ac:dyDescent="0.2">
      <c r="A8" s="1" t="s">
        <v>38</v>
      </c>
      <c r="B8" s="1" t="s">
        <v>39</v>
      </c>
      <c r="C8" s="1" t="s">
        <v>40</v>
      </c>
      <c r="D8" s="1" t="s">
        <v>31</v>
      </c>
      <c r="E8">
        <v>2017</v>
      </c>
      <c r="F8" s="1" t="s">
        <v>19</v>
      </c>
      <c r="G8">
        <v>3.7599999904632568</v>
      </c>
      <c r="H8">
        <v>125</v>
      </c>
      <c r="I8">
        <v>0.33000001311302185</v>
      </c>
      <c r="J8">
        <v>0.86000001430511475</v>
      </c>
      <c r="K8">
        <v>0.44999998807907104</v>
      </c>
      <c r="L8">
        <v>7.0000000298023224E-2</v>
      </c>
      <c r="M8">
        <v>9</v>
      </c>
      <c r="N8">
        <v>0.376</v>
      </c>
      <c r="O8" s="1" t="s">
        <v>20</v>
      </c>
    </row>
    <row r="9" spans="1:15" x14ac:dyDescent="0.2">
      <c r="A9" s="1" t="s">
        <v>41</v>
      </c>
      <c r="B9" s="1" t="s">
        <v>42</v>
      </c>
      <c r="C9" s="1" t="s">
        <v>43</v>
      </c>
      <c r="D9" s="1" t="s">
        <v>31</v>
      </c>
      <c r="E9">
        <v>2017</v>
      </c>
      <c r="F9" s="1" t="s">
        <v>19</v>
      </c>
      <c r="G9">
        <v>3.7200000286102295</v>
      </c>
      <c r="H9">
        <v>159</v>
      </c>
      <c r="I9">
        <v>0.55000001192092896</v>
      </c>
      <c r="J9">
        <v>0.51999998092651367</v>
      </c>
      <c r="K9">
        <v>0.12999999523162842</v>
      </c>
      <c r="L9">
        <v>7.9999998211860657E-2</v>
      </c>
      <c r="M9">
        <v>9</v>
      </c>
      <c r="N9">
        <v>0.372</v>
      </c>
      <c r="O9" s="1" t="s">
        <v>20</v>
      </c>
    </row>
    <row r="10" spans="1:15" x14ac:dyDescent="0.2">
      <c r="A10" s="1" t="s">
        <v>44</v>
      </c>
      <c r="B10" s="1" t="s">
        <v>45</v>
      </c>
      <c r="C10" s="1" t="s">
        <v>27</v>
      </c>
      <c r="D10" s="1" t="s">
        <v>37</v>
      </c>
      <c r="E10">
        <v>2019</v>
      </c>
      <c r="F10" s="1" t="s">
        <v>19</v>
      </c>
      <c r="G10">
        <v>3.690000057220459</v>
      </c>
      <c r="H10">
        <v>98</v>
      </c>
      <c r="I10">
        <v>0.82999998331069946</v>
      </c>
      <c r="J10">
        <v>0.62999999523162842</v>
      </c>
      <c r="K10">
        <v>0.73000001907348633</v>
      </c>
      <c r="L10">
        <v>0.14000000059604645</v>
      </c>
      <c r="M10">
        <v>7</v>
      </c>
      <c r="N10">
        <v>0.46100000000000002</v>
      </c>
      <c r="O10" s="1" t="s">
        <v>20</v>
      </c>
    </row>
    <row r="11" spans="1:15" x14ac:dyDescent="0.2">
      <c r="A11" s="1" t="s">
        <v>46</v>
      </c>
      <c r="B11" s="1" t="s">
        <v>47</v>
      </c>
      <c r="C11" s="1" t="s">
        <v>48</v>
      </c>
      <c r="D11" s="1" t="s">
        <v>49</v>
      </c>
      <c r="E11">
        <v>2018</v>
      </c>
      <c r="F11" s="1" t="s">
        <v>19</v>
      </c>
      <c r="G11">
        <v>3.6500000953674316</v>
      </c>
      <c r="H11">
        <v>100</v>
      </c>
      <c r="I11">
        <v>0.62000000476837158</v>
      </c>
      <c r="J11">
        <v>0.81999999284744263</v>
      </c>
      <c r="K11">
        <v>0.95999997854232788</v>
      </c>
      <c r="L11">
        <v>1.9999999552965164E-2</v>
      </c>
      <c r="M11">
        <v>8</v>
      </c>
      <c r="N11">
        <v>0.40600000000000003</v>
      </c>
      <c r="O11" s="1" t="s">
        <v>20</v>
      </c>
    </row>
    <row r="12" spans="1:15" x14ac:dyDescent="0.2">
      <c r="A12" s="1" t="s">
        <v>50</v>
      </c>
      <c r="B12" s="1" t="s">
        <v>51</v>
      </c>
      <c r="C12" s="1" t="s">
        <v>52</v>
      </c>
      <c r="D12" s="1" t="s">
        <v>53</v>
      </c>
      <c r="E12">
        <v>2019</v>
      </c>
      <c r="F12" s="1" t="s">
        <v>19</v>
      </c>
      <c r="G12">
        <v>3.619999885559082</v>
      </c>
      <c r="H12">
        <v>117</v>
      </c>
      <c r="I12">
        <v>0.75</v>
      </c>
      <c r="J12">
        <v>0.74000000953674316</v>
      </c>
      <c r="K12">
        <v>0.75</v>
      </c>
      <c r="L12">
        <v>0.14000000059604645</v>
      </c>
      <c r="M12">
        <v>7</v>
      </c>
      <c r="N12">
        <v>0.45200000000000001</v>
      </c>
      <c r="O12" s="1" t="s">
        <v>20</v>
      </c>
    </row>
    <row r="13" spans="1:15" x14ac:dyDescent="0.2">
      <c r="A13" s="1" t="s">
        <v>54</v>
      </c>
      <c r="B13" s="1" t="s">
        <v>55</v>
      </c>
      <c r="C13" s="1" t="s">
        <v>56</v>
      </c>
      <c r="D13" s="1" t="s">
        <v>24</v>
      </c>
      <c r="E13">
        <v>2019</v>
      </c>
      <c r="F13" s="1" t="s">
        <v>19</v>
      </c>
      <c r="G13">
        <v>3.5799999237060547</v>
      </c>
      <c r="H13">
        <v>95</v>
      </c>
      <c r="I13">
        <v>0.55000001192092896</v>
      </c>
      <c r="J13">
        <v>0.81999999284744263</v>
      </c>
      <c r="K13">
        <v>0.74000000953674316</v>
      </c>
      <c r="L13">
        <v>0.11999999731779099</v>
      </c>
      <c r="M13">
        <v>7</v>
      </c>
      <c r="N13">
        <v>0.44700000000000001</v>
      </c>
      <c r="O13" s="1" t="s">
        <v>20</v>
      </c>
    </row>
    <row r="14" spans="1:15" x14ac:dyDescent="0.2">
      <c r="A14" s="1" t="s">
        <v>57</v>
      </c>
      <c r="B14" s="1" t="s">
        <v>22</v>
      </c>
      <c r="C14" s="1" t="s">
        <v>58</v>
      </c>
      <c r="D14" s="1" t="s">
        <v>24</v>
      </c>
      <c r="E14">
        <v>2017</v>
      </c>
      <c r="F14" s="1" t="s">
        <v>19</v>
      </c>
      <c r="G14">
        <v>3.5499999523162842</v>
      </c>
      <c r="H14">
        <v>95</v>
      </c>
      <c r="I14">
        <v>0.6600000262260437</v>
      </c>
      <c r="J14">
        <v>0.43000000715255737</v>
      </c>
      <c r="K14">
        <v>0.40999999642372131</v>
      </c>
      <c r="L14">
        <v>0.37000000476837158</v>
      </c>
      <c r="M14">
        <v>9</v>
      </c>
      <c r="N14">
        <v>0.35499999999999998</v>
      </c>
      <c r="O14" s="1" t="s">
        <v>20</v>
      </c>
    </row>
    <row r="15" spans="1:15" x14ac:dyDescent="0.2">
      <c r="A15" s="1" t="s">
        <v>59</v>
      </c>
      <c r="B15" s="1" t="s">
        <v>60</v>
      </c>
      <c r="C15" s="1" t="s">
        <v>61</v>
      </c>
      <c r="D15" s="1" t="s">
        <v>24</v>
      </c>
      <c r="E15">
        <v>2020</v>
      </c>
      <c r="F15" s="1" t="s">
        <v>19</v>
      </c>
      <c r="G15">
        <v>3.5199999809265137</v>
      </c>
      <c r="H15">
        <v>103</v>
      </c>
      <c r="I15">
        <v>0.69999998807907104</v>
      </c>
      <c r="J15">
        <v>0.81999999284744263</v>
      </c>
      <c r="K15">
        <v>0.9100000262260437</v>
      </c>
      <c r="L15">
        <v>0</v>
      </c>
      <c r="M15">
        <v>6</v>
      </c>
      <c r="N15">
        <v>0.503</v>
      </c>
      <c r="O15" s="1" t="s">
        <v>20</v>
      </c>
    </row>
    <row r="16" spans="1:15" x14ac:dyDescent="0.2">
      <c r="A16" s="1" t="s">
        <v>62</v>
      </c>
      <c r="B16" s="1" t="s">
        <v>63</v>
      </c>
      <c r="C16" s="1" t="s">
        <v>56</v>
      </c>
      <c r="D16" s="1" t="s">
        <v>24</v>
      </c>
      <c r="E16">
        <v>2020</v>
      </c>
      <c r="F16" s="1" t="s">
        <v>19</v>
      </c>
      <c r="G16">
        <v>3.4000000953674316</v>
      </c>
      <c r="H16">
        <v>80</v>
      </c>
      <c r="I16">
        <v>0.50999999046325684</v>
      </c>
      <c r="J16">
        <v>0.54000002145767212</v>
      </c>
      <c r="K16">
        <v>0.57999998331069946</v>
      </c>
      <c r="L16">
        <v>0.2199999988079071</v>
      </c>
      <c r="M16">
        <v>6</v>
      </c>
      <c r="N16">
        <v>0.48599999999999999</v>
      </c>
      <c r="O16" s="1" t="s">
        <v>20</v>
      </c>
    </row>
    <row r="17" spans="1:15" x14ac:dyDescent="0.2">
      <c r="A17" s="1" t="s">
        <v>64</v>
      </c>
      <c r="B17" s="1" t="s">
        <v>65</v>
      </c>
      <c r="C17" s="1" t="s">
        <v>66</v>
      </c>
      <c r="D17" s="1" t="s">
        <v>31</v>
      </c>
      <c r="E17">
        <v>2019</v>
      </c>
      <c r="F17" s="1" t="s">
        <v>19</v>
      </c>
      <c r="G17">
        <v>3.369999885559082</v>
      </c>
      <c r="H17">
        <v>135</v>
      </c>
      <c r="I17">
        <v>0.69999998807907104</v>
      </c>
      <c r="J17">
        <v>0.43000000715255737</v>
      </c>
      <c r="K17">
        <v>0.56000000238418579</v>
      </c>
      <c r="L17">
        <v>0</v>
      </c>
      <c r="M17">
        <v>7</v>
      </c>
      <c r="N17">
        <v>0.42099999999999999</v>
      </c>
      <c r="O17" s="1" t="s">
        <v>20</v>
      </c>
    </row>
    <row r="18" spans="1:15" x14ac:dyDescent="0.2">
      <c r="A18" s="1" t="s">
        <v>67</v>
      </c>
      <c r="B18" s="1" t="s">
        <v>68</v>
      </c>
      <c r="C18" s="1" t="s">
        <v>27</v>
      </c>
      <c r="D18" s="1" t="s">
        <v>31</v>
      </c>
      <c r="E18">
        <v>2021</v>
      </c>
      <c r="F18" s="1" t="s">
        <v>19</v>
      </c>
      <c r="G18">
        <v>3.3399999141693115</v>
      </c>
      <c r="H18">
        <v>73</v>
      </c>
      <c r="I18">
        <v>0.5899999737739563</v>
      </c>
      <c r="J18">
        <v>0.43000000715255737</v>
      </c>
      <c r="K18">
        <v>0.12999999523162842</v>
      </c>
      <c r="L18">
        <v>0.2800000011920929</v>
      </c>
      <c r="M18">
        <v>5</v>
      </c>
      <c r="N18">
        <v>0.55700000000000005</v>
      </c>
      <c r="O18" s="1" t="s">
        <v>20</v>
      </c>
    </row>
    <row r="19" spans="1:15" x14ac:dyDescent="0.2">
      <c r="A19" s="1" t="s">
        <v>69</v>
      </c>
      <c r="B19" s="1" t="s">
        <v>70</v>
      </c>
      <c r="C19" s="1" t="s">
        <v>71</v>
      </c>
      <c r="D19" s="1" t="s">
        <v>31</v>
      </c>
      <c r="E19">
        <v>2019</v>
      </c>
      <c r="F19" s="1" t="s">
        <v>19</v>
      </c>
      <c r="G19">
        <v>3.309999942779541</v>
      </c>
      <c r="H19">
        <v>121</v>
      </c>
      <c r="I19">
        <v>0.68999999761581421</v>
      </c>
      <c r="J19">
        <v>0.55000001192092896</v>
      </c>
      <c r="K19">
        <v>0.72000002861022949</v>
      </c>
      <c r="L19">
        <v>9.0000003576278687E-2</v>
      </c>
      <c r="M19">
        <v>7</v>
      </c>
      <c r="N19">
        <v>0.41399999999999998</v>
      </c>
      <c r="O19" s="1" t="s">
        <v>20</v>
      </c>
    </row>
    <row r="20" spans="1:15" x14ac:dyDescent="0.2">
      <c r="A20" s="1" t="s">
        <v>72</v>
      </c>
      <c r="B20" s="1" t="s">
        <v>73</v>
      </c>
      <c r="C20" s="1" t="s">
        <v>27</v>
      </c>
      <c r="D20" s="1" t="s">
        <v>31</v>
      </c>
      <c r="E20">
        <v>2019</v>
      </c>
      <c r="F20" s="1" t="s">
        <v>19</v>
      </c>
      <c r="G20">
        <v>3.2799999713897705</v>
      </c>
      <c r="H20">
        <v>91</v>
      </c>
      <c r="I20">
        <v>0.75999999046325684</v>
      </c>
      <c r="J20">
        <v>0.36000001430511475</v>
      </c>
      <c r="K20">
        <v>0.69999998807907104</v>
      </c>
      <c r="L20">
        <v>0.51999998092651367</v>
      </c>
      <c r="M20">
        <v>7</v>
      </c>
      <c r="N20">
        <v>0.41</v>
      </c>
      <c r="O20" s="1" t="s">
        <v>74</v>
      </c>
    </row>
    <row r="21" spans="1:15" x14ac:dyDescent="0.2">
      <c r="A21" s="1" t="s">
        <v>75</v>
      </c>
      <c r="B21" s="1" t="s">
        <v>76</v>
      </c>
      <c r="C21" s="1" t="s">
        <v>77</v>
      </c>
      <c r="D21" s="1" t="s">
        <v>31</v>
      </c>
      <c r="E21">
        <v>2018</v>
      </c>
      <c r="F21" s="1" t="s">
        <v>19</v>
      </c>
      <c r="G21">
        <v>3.25</v>
      </c>
      <c r="H21">
        <v>96</v>
      </c>
      <c r="I21">
        <v>0.5899999737739563</v>
      </c>
      <c r="J21">
        <v>0.55000001192092896</v>
      </c>
      <c r="K21">
        <v>0.37000000476837158</v>
      </c>
      <c r="L21">
        <v>0.2199999988079071</v>
      </c>
      <c r="M21">
        <v>8</v>
      </c>
      <c r="N21">
        <v>0.36099999999999999</v>
      </c>
      <c r="O21" s="1" t="s">
        <v>20</v>
      </c>
    </row>
    <row r="22" spans="1:15" x14ac:dyDescent="0.2">
      <c r="A22" s="1" t="s">
        <v>78</v>
      </c>
      <c r="B22" s="1" t="s">
        <v>55</v>
      </c>
      <c r="C22" s="1" t="s">
        <v>56</v>
      </c>
      <c r="D22" s="1" t="s">
        <v>24</v>
      </c>
      <c r="E22">
        <v>2022</v>
      </c>
      <c r="F22" s="1" t="s">
        <v>19</v>
      </c>
      <c r="G22">
        <v>3.2200000286102295</v>
      </c>
      <c r="H22">
        <v>174</v>
      </c>
      <c r="I22">
        <v>0.51999998092651367</v>
      </c>
      <c r="J22">
        <v>0.73000001907348633</v>
      </c>
      <c r="K22">
        <v>0.36000001430511475</v>
      </c>
      <c r="L22">
        <v>0</v>
      </c>
      <c r="M22">
        <v>4</v>
      </c>
      <c r="N22">
        <v>0.64400000000000002</v>
      </c>
      <c r="O22" s="1" t="s">
        <v>20</v>
      </c>
    </row>
    <row r="23" spans="1:15" x14ac:dyDescent="0.2">
      <c r="A23" s="1" t="s">
        <v>79</v>
      </c>
      <c r="B23" s="1" t="s">
        <v>80</v>
      </c>
      <c r="C23" s="1" t="s">
        <v>81</v>
      </c>
      <c r="D23" s="1" t="s">
        <v>82</v>
      </c>
      <c r="E23">
        <v>2020</v>
      </c>
      <c r="F23" s="1" t="s">
        <v>19</v>
      </c>
      <c r="G23">
        <v>3.190000057220459</v>
      </c>
      <c r="H23">
        <v>114</v>
      </c>
      <c r="I23">
        <v>0.74000000953674316</v>
      </c>
      <c r="J23">
        <v>0.76999998092651367</v>
      </c>
      <c r="K23">
        <v>0.74000000953674316</v>
      </c>
      <c r="L23">
        <v>9.9999997764825821E-3</v>
      </c>
      <c r="M23">
        <v>6</v>
      </c>
      <c r="N23">
        <v>0.45600000000000002</v>
      </c>
      <c r="O23" s="1" t="s">
        <v>20</v>
      </c>
    </row>
    <row r="24" spans="1:15" x14ac:dyDescent="0.2">
      <c r="A24" s="1" t="s">
        <v>83</v>
      </c>
      <c r="B24" s="1" t="s">
        <v>84</v>
      </c>
      <c r="C24" s="1" t="s">
        <v>27</v>
      </c>
      <c r="D24" s="1" t="s">
        <v>31</v>
      </c>
      <c r="E24">
        <v>2023</v>
      </c>
      <c r="F24" s="1" t="s">
        <v>19</v>
      </c>
      <c r="G24">
        <v>3.1600000858306885</v>
      </c>
      <c r="H24">
        <v>118</v>
      </c>
      <c r="I24">
        <v>0.74000000953674316</v>
      </c>
      <c r="J24">
        <v>0.74000000953674316</v>
      </c>
      <c r="K24">
        <v>0.87999999523162842</v>
      </c>
      <c r="L24">
        <v>0.10000000149011612</v>
      </c>
      <c r="M24">
        <v>3</v>
      </c>
      <c r="N24">
        <v>0.79</v>
      </c>
      <c r="O24" s="1" t="s">
        <v>20</v>
      </c>
    </row>
    <row r="25" spans="1:15" x14ac:dyDescent="0.2">
      <c r="A25" s="1" t="s">
        <v>85</v>
      </c>
      <c r="B25" s="1" t="s">
        <v>86</v>
      </c>
      <c r="C25" s="1" t="s">
        <v>87</v>
      </c>
      <c r="D25" s="1" t="s">
        <v>31</v>
      </c>
      <c r="E25">
        <v>2013</v>
      </c>
      <c r="F25" s="1" t="s">
        <v>19</v>
      </c>
      <c r="G25">
        <v>3.1400001049041748</v>
      </c>
      <c r="H25">
        <v>122</v>
      </c>
      <c r="I25">
        <v>0.62000000476837158</v>
      </c>
      <c r="J25">
        <v>0.80000001192092896</v>
      </c>
      <c r="K25">
        <v>0.57999998331069946</v>
      </c>
      <c r="L25">
        <v>0.11999999731779099</v>
      </c>
      <c r="M25">
        <v>13</v>
      </c>
      <c r="N25">
        <v>0.224</v>
      </c>
      <c r="O25" s="1" t="s">
        <v>20</v>
      </c>
    </row>
    <row r="26" spans="1:15" x14ac:dyDescent="0.2">
      <c r="A26" s="1" t="s">
        <v>88</v>
      </c>
      <c r="B26" s="1" t="s">
        <v>89</v>
      </c>
      <c r="C26" s="1" t="s">
        <v>90</v>
      </c>
      <c r="D26" s="1" t="s">
        <v>31</v>
      </c>
      <c r="E26">
        <v>2018</v>
      </c>
      <c r="F26" s="1" t="s">
        <v>19</v>
      </c>
      <c r="G26">
        <v>3.1099998950958252</v>
      </c>
      <c r="H26">
        <v>84</v>
      </c>
      <c r="I26">
        <v>0.50999999046325684</v>
      </c>
      <c r="J26">
        <v>0.49000000953674316</v>
      </c>
      <c r="K26">
        <v>0.2199999988079071</v>
      </c>
      <c r="L26">
        <v>7.0000000298023224E-2</v>
      </c>
      <c r="M26">
        <v>8</v>
      </c>
      <c r="N26">
        <v>0.34599999999999997</v>
      </c>
      <c r="O26" s="1" t="s">
        <v>20</v>
      </c>
    </row>
    <row r="27" spans="1:15" x14ac:dyDescent="0.2">
      <c r="A27" s="1" t="s">
        <v>91</v>
      </c>
      <c r="B27" s="1" t="s">
        <v>92</v>
      </c>
      <c r="C27" s="1" t="s">
        <v>48</v>
      </c>
      <c r="D27" s="1" t="s">
        <v>31</v>
      </c>
      <c r="E27">
        <v>2016</v>
      </c>
      <c r="F27" s="1" t="s">
        <v>19</v>
      </c>
      <c r="G27">
        <v>3.0799999237060547</v>
      </c>
      <c r="H27">
        <v>95</v>
      </c>
      <c r="I27">
        <v>0.74000000953674316</v>
      </c>
      <c r="J27">
        <v>0.64999997615814209</v>
      </c>
      <c r="K27">
        <v>0.76999998092651367</v>
      </c>
      <c r="L27">
        <v>3.9999999105930328E-2</v>
      </c>
      <c r="M27">
        <v>10</v>
      </c>
      <c r="N27">
        <v>0.28000000000000003</v>
      </c>
      <c r="O27" s="1" t="s">
        <v>20</v>
      </c>
    </row>
    <row r="28" spans="1:15" x14ac:dyDescent="0.2">
      <c r="A28" s="1" t="s">
        <v>93</v>
      </c>
      <c r="B28" s="1" t="s">
        <v>94</v>
      </c>
      <c r="C28" s="1" t="s">
        <v>34</v>
      </c>
      <c r="D28" s="1" t="s">
        <v>95</v>
      </c>
      <c r="E28">
        <v>2022</v>
      </c>
      <c r="F28" s="1" t="s">
        <v>19</v>
      </c>
      <c r="G28">
        <v>3.0199999809265137</v>
      </c>
      <c r="H28">
        <v>106</v>
      </c>
      <c r="I28">
        <v>0.80000001192092896</v>
      </c>
      <c r="J28">
        <v>0.72000002861022949</v>
      </c>
      <c r="K28">
        <v>0.77999997138977051</v>
      </c>
      <c r="L28">
        <v>7.9999998211860657E-2</v>
      </c>
      <c r="M28">
        <v>4</v>
      </c>
      <c r="N28">
        <v>0.60399999999999998</v>
      </c>
      <c r="O28" s="1" t="s">
        <v>20</v>
      </c>
    </row>
    <row r="29" spans="1:15" x14ac:dyDescent="0.2">
      <c r="A29" s="1" t="s">
        <v>96</v>
      </c>
      <c r="B29" s="1" t="s">
        <v>97</v>
      </c>
      <c r="C29" s="1" t="s">
        <v>56</v>
      </c>
      <c r="D29" s="1" t="s">
        <v>31</v>
      </c>
      <c r="E29">
        <v>2022</v>
      </c>
      <c r="F29" s="1" t="s">
        <v>19</v>
      </c>
      <c r="G29">
        <v>2.9900000095367432</v>
      </c>
      <c r="H29">
        <v>97</v>
      </c>
      <c r="I29">
        <v>0.63999998569488525</v>
      </c>
      <c r="J29">
        <v>0.57999998331069946</v>
      </c>
      <c r="K29">
        <v>0.4699999988079071</v>
      </c>
      <c r="L29">
        <v>0.10000000149011612</v>
      </c>
      <c r="M29">
        <v>4</v>
      </c>
      <c r="N29">
        <v>0.59799999999999998</v>
      </c>
      <c r="O29" s="1" t="s">
        <v>20</v>
      </c>
    </row>
    <row r="30" spans="1:15" x14ac:dyDescent="0.2">
      <c r="A30" s="1" t="s">
        <v>98</v>
      </c>
      <c r="B30" s="1" t="s">
        <v>16</v>
      </c>
      <c r="C30" s="1" t="s">
        <v>17</v>
      </c>
      <c r="D30" s="1" t="s">
        <v>18</v>
      </c>
      <c r="E30">
        <v>2020</v>
      </c>
      <c r="F30" s="1" t="s">
        <v>19</v>
      </c>
      <c r="G30">
        <v>2.880000114440918</v>
      </c>
      <c r="H30">
        <v>118</v>
      </c>
      <c r="I30">
        <v>0.68000000715255737</v>
      </c>
      <c r="J30">
        <v>0.81999999284744263</v>
      </c>
      <c r="K30">
        <v>0.77999997138977051</v>
      </c>
      <c r="L30">
        <v>9.9999997764825821E-3</v>
      </c>
      <c r="M30">
        <v>6</v>
      </c>
      <c r="N30">
        <v>0.41099999999999998</v>
      </c>
      <c r="O30" s="1" t="s">
        <v>20</v>
      </c>
    </row>
    <row r="31" spans="1:15" x14ac:dyDescent="0.2">
      <c r="A31" s="1" t="s">
        <v>99</v>
      </c>
      <c r="B31" s="1" t="s">
        <v>16</v>
      </c>
      <c r="C31" s="1" t="s">
        <v>100</v>
      </c>
      <c r="D31" s="1" t="s">
        <v>18</v>
      </c>
      <c r="E31">
        <v>2016</v>
      </c>
      <c r="F31" s="1" t="s">
        <v>19</v>
      </c>
      <c r="G31">
        <v>2.8599998950958252</v>
      </c>
      <c r="H31">
        <v>95</v>
      </c>
      <c r="I31">
        <v>0.40000000596046448</v>
      </c>
      <c r="J31">
        <v>0.55000001192092896</v>
      </c>
      <c r="K31">
        <v>0.31999999284744263</v>
      </c>
      <c r="L31">
        <v>3.9999999105930328E-2</v>
      </c>
      <c r="M31">
        <v>10</v>
      </c>
      <c r="N31">
        <v>0.26</v>
      </c>
      <c r="O31" s="1" t="s">
        <v>20</v>
      </c>
    </row>
    <row r="32" spans="1:15" x14ac:dyDescent="0.2">
      <c r="A32" s="1" t="s">
        <v>101</v>
      </c>
      <c r="B32" s="1" t="s">
        <v>102</v>
      </c>
      <c r="C32" s="1" t="s">
        <v>56</v>
      </c>
      <c r="D32" s="1" t="s">
        <v>31</v>
      </c>
      <c r="E32">
        <v>2018</v>
      </c>
      <c r="F32" s="1" t="s">
        <v>19</v>
      </c>
      <c r="G32">
        <v>2.8399999141693115</v>
      </c>
      <c r="H32">
        <v>95</v>
      </c>
      <c r="I32">
        <v>0.34999999403953552</v>
      </c>
      <c r="J32">
        <v>0.30000001192092896</v>
      </c>
      <c r="K32">
        <v>7.9999998211860657E-2</v>
      </c>
      <c r="L32">
        <v>0.5</v>
      </c>
      <c r="M32">
        <v>8</v>
      </c>
      <c r="N32">
        <v>0.316</v>
      </c>
      <c r="O32" s="1" t="s">
        <v>74</v>
      </c>
    </row>
    <row r="33" spans="1:15" x14ac:dyDescent="0.2">
      <c r="A33" s="1" t="s">
        <v>103</v>
      </c>
      <c r="B33" s="1" t="s">
        <v>104</v>
      </c>
      <c r="C33" s="1" t="s">
        <v>105</v>
      </c>
      <c r="D33" s="1" t="s">
        <v>31</v>
      </c>
      <c r="E33">
        <v>2014</v>
      </c>
      <c r="F33" s="1" t="s">
        <v>19</v>
      </c>
      <c r="G33">
        <v>2.5299999713897705</v>
      </c>
      <c r="H33">
        <v>115</v>
      </c>
      <c r="I33">
        <v>0.89999997615814209</v>
      </c>
      <c r="J33">
        <v>0.95999997854232788</v>
      </c>
      <c r="K33">
        <v>0.81999999284744263</v>
      </c>
      <c r="L33">
        <v>1.9999999552965164E-2</v>
      </c>
      <c r="M33">
        <v>12</v>
      </c>
      <c r="N33">
        <v>0.19500000000000001</v>
      </c>
      <c r="O33" s="1" t="s">
        <v>106</v>
      </c>
    </row>
    <row r="34" spans="1:15" x14ac:dyDescent="0.2">
      <c r="A34" s="1" t="s">
        <v>107</v>
      </c>
      <c r="B34" s="1" t="s">
        <v>108</v>
      </c>
      <c r="C34" s="1" t="s">
        <v>109</v>
      </c>
      <c r="D34" s="1" t="s">
        <v>31</v>
      </c>
      <c r="E34">
        <v>2013</v>
      </c>
      <c r="F34" s="1" t="s">
        <v>19</v>
      </c>
      <c r="G34">
        <v>2.4700000286102295</v>
      </c>
      <c r="H34">
        <v>124</v>
      </c>
      <c r="I34">
        <v>0.5899999737739563</v>
      </c>
      <c r="J34">
        <v>0.63999998569488525</v>
      </c>
      <c r="K34">
        <v>0.5</v>
      </c>
      <c r="L34">
        <v>0.25999999046325684</v>
      </c>
      <c r="M34">
        <v>13</v>
      </c>
      <c r="N34">
        <v>0.17599999999999999</v>
      </c>
      <c r="O34" s="1" t="s">
        <v>20</v>
      </c>
    </row>
    <row r="35" spans="1:15" x14ac:dyDescent="0.2">
      <c r="A35" s="1" t="s">
        <v>110</v>
      </c>
      <c r="B35" s="1" t="s">
        <v>97</v>
      </c>
      <c r="C35" s="1" t="s">
        <v>17</v>
      </c>
      <c r="D35" s="1" t="s">
        <v>31</v>
      </c>
      <c r="E35">
        <v>2019</v>
      </c>
      <c r="F35" s="1" t="s">
        <v>19</v>
      </c>
      <c r="G35">
        <v>2.7200000286102295</v>
      </c>
      <c r="H35">
        <v>170</v>
      </c>
      <c r="I35">
        <v>0.55000001192092896</v>
      </c>
      <c r="J35">
        <v>0.69999998807907104</v>
      </c>
      <c r="K35">
        <v>0.56999999284744263</v>
      </c>
      <c r="L35">
        <v>0.11999999731779099</v>
      </c>
      <c r="M35">
        <v>7</v>
      </c>
      <c r="N35">
        <v>0.34</v>
      </c>
      <c r="O35" s="1" t="s">
        <v>20</v>
      </c>
    </row>
    <row r="36" spans="1:15" x14ac:dyDescent="0.2">
      <c r="A36" s="1" t="s">
        <v>111</v>
      </c>
      <c r="B36" s="1" t="s">
        <v>112</v>
      </c>
      <c r="C36" s="1" t="s">
        <v>113</v>
      </c>
      <c r="D36" s="1" t="s">
        <v>114</v>
      </c>
      <c r="E36">
        <v>2017</v>
      </c>
      <c r="F36" s="1" t="s">
        <v>19</v>
      </c>
      <c r="G36">
        <v>2.1500000953674316</v>
      </c>
      <c r="H36">
        <v>178</v>
      </c>
      <c r="I36">
        <v>0.68999999761581421</v>
      </c>
      <c r="J36">
        <v>0.81000000238418579</v>
      </c>
      <c r="K36">
        <v>0.81000000238418579</v>
      </c>
      <c r="L36">
        <v>0.2199999988079071</v>
      </c>
      <c r="M36">
        <v>9</v>
      </c>
      <c r="N36">
        <v>0.215</v>
      </c>
      <c r="O36" s="1" t="s">
        <v>20</v>
      </c>
    </row>
    <row r="37" spans="1:15" x14ac:dyDescent="0.2">
      <c r="A37" s="1" t="s">
        <v>115</v>
      </c>
      <c r="B37" s="1" t="s">
        <v>116</v>
      </c>
      <c r="C37" s="1" t="s">
        <v>52</v>
      </c>
      <c r="D37" s="1" t="s">
        <v>117</v>
      </c>
      <c r="E37">
        <v>2017</v>
      </c>
      <c r="F37" s="1" t="s">
        <v>19</v>
      </c>
      <c r="G37">
        <v>2.130000114440918</v>
      </c>
      <c r="H37">
        <v>105</v>
      </c>
      <c r="I37">
        <v>0.75999999046325684</v>
      </c>
      <c r="J37">
        <v>0.57999998331069946</v>
      </c>
      <c r="K37">
        <v>0.61000001430511475</v>
      </c>
      <c r="L37">
        <v>0.14000000059604645</v>
      </c>
      <c r="M37">
        <v>9</v>
      </c>
      <c r="N37">
        <v>0.21299999999999999</v>
      </c>
      <c r="O37" s="1" t="s">
        <v>20</v>
      </c>
    </row>
    <row r="38" spans="1:15" x14ac:dyDescent="0.2">
      <c r="A38" s="1" t="s">
        <v>118</v>
      </c>
      <c r="B38" s="1" t="s">
        <v>119</v>
      </c>
      <c r="C38" s="1" t="s">
        <v>120</v>
      </c>
      <c r="D38" s="1" t="s">
        <v>24</v>
      </c>
      <c r="E38">
        <v>2021</v>
      </c>
      <c r="F38" s="1" t="s">
        <v>19</v>
      </c>
      <c r="G38">
        <v>2.0199999809265137</v>
      </c>
      <c r="H38">
        <v>62</v>
      </c>
      <c r="I38">
        <v>0.34000000357627869</v>
      </c>
      <c r="J38">
        <v>0.25999999046325684</v>
      </c>
      <c r="K38">
        <v>0.17000000178813934</v>
      </c>
      <c r="L38">
        <v>0.75999999046325684</v>
      </c>
      <c r="M38">
        <v>5</v>
      </c>
      <c r="N38">
        <v>0.33700000000000002</v>
      </c>
      <c r="O38" s="1" t="s">
        <v>74</v>
      </c>
    </row>
    <row r="39" spans="1:15" x14ac:dyDescent="0.2">
      <c r="A39" s="1" t="s">
        <v>121</v>
      </c>
      <c r="B39" s="1" t="s">
        <v>122</v>
      </c>
      <c r="C39" s="1" t="s">
        <v>43</v>
      </c>
      <c r="D39" s="1" t="s">
        <v>31</v>
      </c>
      <c r="E39">
        <v>2002</v>
      </c>
      <c r="F39" s="1" t="s">
        <v>19</v>
      </c>
      <c r="G39">
        <v>1.9500000476837158</v>
      </c>
      <c r="H39">
        <v>171</v>
      </c>
      <c r="I39">
        <v>0.6600000262260437</v>
      </c>
      <c r="J39">
        <v>0.62000000476837158</v>
      </c>
      <c r="K39">
        <v>0.25999999046325684</v>
      </c>
      <c r="L39">
        <v>0</v>
      </c>
      <c r="M39">
        <v>24</v>
      </c>
      <c r="N39">
        <v>7.8E-2</v>
      </c>
      <c r="O39" s="1" t="s">
        <v>20</v>
      </c>
    </row>
    <row r="40" spans="1:15" x14ac:dyDescent="0.2">
      <c r="A40" s="1" t="s">
        <v>123</v>
      </c>
      <c r="B40" s="1" t="s">
        <v>124</v>
      </c>
      <c r="C40" s="1" t="s">
        <v>40</v>
      </c>
      <c r="D40" s="1" t="s">
        <v>31</v>
      </c>
      <c r="E40">
        <v>2003</v>
      </c>
      <c r="F40" s="1" t="s">
        <v>19</v>
      </c>
      <c r="G40">
        <v>1.8200000524520874</v>
      </c>
      <c r="H40">
        <v>118</v>
      </c>
      <c r="I40">
        <v>0.46000000834465027</v>
      </c>
      <c r="J40">
        <v>0.89999997615814209</v>
      </c>
      <c r="K40">
        <v>0.15000000596046448</v>
      </c>
      <c r="L40">
        <v>1.9999999552965164E-2</v>
      </c>
      <c r="M40">
        <v>23</v>
      </c>
      <c r="N40">
        <v>7.5999999999999998E-2</v>
      </c>
      <c r="O40" s="1" t="s">
        <v>20</v>
      </c>
    </row>
    <row r="41" spans="1:15" x14ac:dyDescent="0.2">
      <c r="A41" s="1" t="s">
        <v>125</v>
      </c>
      <c r="B41" s="1" t="s">
        <v>126</v>
      </c>
      <c r="C41" s="1" t="s">
        <v>127</v>
      </c>
      <c r="D41" s="1" t="s">
        <v>31</v>
      </c>
      <c r="E41">
        <v>1991</v>
      </c>
      <c r="F41" s="1" t="s">
        <v>19</v>
      </c>
      <c r="G41">
        <v>1.7999999523162842</v>
      </c>
      <c r="H41">
        <v>117</v>
      </c>
      <c r="I41">
        <v>0.5</v>
      </c>
      <c r="J41">
        <v>0.89999997615814209</v>
      </c>
      <c r="K41">
        <v>0.43999999761581421</v>
      </c>
      <c r="L41">
        <v>0</v>
      </c>
      <c r="M41">
        <v>35</v>
      </c>
      <c r="N41">
        <v>0.05</v>
      </c>
      <c r="O41" s="1" t="s">
        <v>20</v>
      </c>
    </row>
    <row r="42" spans="1:15" x14ac:dyDescent="0.2">
      <c r="A42" s="1" t="s">
        <v>128</v>
      </c>
      <c r="B42" s="1" t="s">
        <v>129</v>
      </c>
      <c r="C42" s="1" t="s">
        <v>27</v>
      </c>
      <c r="D42" s="1" t="s">
        <v>31</v>
      </c>
      <c r="E42">
        <v>2024</v>
      </c>
      <c r="F42" s="1" t="s">
        <v>19</v>
      </c>
      <c r="G42">
        <v>1.7599999904632568</v>
      </c>
      <c r="H42">
        <v>104</v>
      </c>
      <c r="I42">
        <v>0.80000001192092896</v>
      </c>
      <c r="J42">
        <v>0.73000001907348633</v>
      </c>
      <c r="K42">
        <v>0.95999997854232788</v>
      </c>
      <c r="L42">
        <v>5.9999998658895493E-2</v>
      </c>
      <c r="M42">
        <v>2</v>
      </c>
      <c r="N42">
        <v>0.58699999999999997</v>
      </c>
      <c r="O42" s="1" t="s">
        <v>20</v>
      </c>
    </row>
    <row r="43" spans="1:15" x14ac:dyDescent="0.2">
      <c r="A43" s="1" t="s">
        <v>130</v>
      </c>
      <c r="B43" s="1" t="s">
        <v>39</v>
      </c>
      <c r="C43" s="1" t="s">
        <v>40</v>
      </c>
      <c r="D43" s="1" t="s">
        <v>31</v>
      </c>
      <c r="E43">
        <v>2012</v>
      </c>
      <c r="F43" s="1" t="s">
        <v>19</v>
      </c>
      <c r="G43">
        <v>1.7400000095367432</v>
      </c>
      <c r="H43">
        <v>136</v>
      </c>
      <c r="I43">
        <v>0.37999999523162842</v>
      </c>
      <c r="J43">
        <v>0.75999999046325684</v>
      </c>
      <c r="K43">
        <v>0.23000000417232513</v>
      </c>
      <c r="L43">
        <v>0.10000000149011612</v>
      </c>
      <c r="M43">
        <v>14</v>
      </c>
      <c r="N43">
        <v>0.11600000000000001</v>
      </c>
      <c r="O43" s="1" t="s">
        <v>20</v>
      </c>
    </row>
    <row r="44" spans="1:15" x14ac:dyDescent="0.2">
      <c r="A44" s="1" t="s">
        <v>131</v>
      </c>
      <c r="B44" s="1" t="s">
        <v>132</v>
      </c>
      <c r="C44" s="1" t="s">
        <v>133</v>
      </c>
      <c r="D44" s="1" t="s">
        <v>24</v>
      </c>
      <c r="E44">
        <v>1985</v>
      </c>
      <c r="F44" s="1" t="s">
        <v>19</v>
      </c>
      <c r="G44">
        <v>1.5199999809265137</v>
      </c>
      <c r="H44">
        <v>112</v>
      </c>
      <c r="I44">
        <v>0.40999999642372131</v>
      </c>
      <c r="J44">
        <v>0.68000000715255737</v>
      </c>
      <c r="K44">
        <v>0.25</v>
      </c>
      <c r="L44">
        <v>7.9999998211860657E-2</v>
      </c>
      <c r="M44">
        <v>41</v>
      </c>
      <c r="N44">
        <v>3.5999999999999997E-2</v>
      </c>
      <c r="O44" s="1" t="s">
        <v>20</v>
      </c>
    </row>
    <row r="45" spans="1:15" x14ac:dyDescent="0.2">
      <c r="A45" s="1" t="s">
        <v>134</v>
      </c>
      <c r="B45" s="1" t="s">
        <v>135</v>
      </c>
      <c r="C45" s="1" t="s">
        <v>43</v>
      </c>
      <c r="D45" s="1" t="s">
        <v>31</v>
      </c>
      <c r="E45">
        <v>2024</v>
      </c>
      <c r="F45" s="1" t="s">
        <v>19</v>
      </c>
      <c r="G45">
        <v>1.5</v>
      </c>
      <c r="H45">
        <v>101</v>
      </c>
      <c r="I45">
        <v>0.81999999284744263</v>
      </c>
      <c r="J45">
        <v>0.72000002861022949</v>
      </c>
      <c r="K45">
        <v>0.62000000476837158</v>
      </c>
      <c r="L45">
        <v>3.9999999105930328E-2</v>
      </c>
      <c r="M45">
        <v>2</v>
      </c>
      <c r="N45">
        <v>0.5</v>
      </c>
      <c r="O45" s="1" t="s">
        <v>20</v>
      </c>
    </row>
    <row r="46" spans="1:15" x14ac:dyDescent="0.2">
      <c r="A46" s="1" t="s">
        <v>136</v>
      </c>
      <c r="B46" s="1" t="s">
        <v>68</v>
      </c>
      <c r="C46" s="1" t="s">
        <v>137</v>
      </c>
      <c r="D46" s="1" t="s">
        <v>31</v>
      </c>
      <c r="E46">
        <v>2021</v>
      </c>
      <c r="F46" s="1" t="s">
        <v>19</v>
      </c>
      <c r="G46">
        <v>1.4800000190734863</v>
      </c>
      <c r="H46">
        <v>166</v>
      </c>
      <c r="I46">
        <v>0.56000000238418579</v>
      </c>
      <c r="J46">
        <v>0.89999997615814209</v>
      </c>
      <c r="K46">
        <v>0.64999997615814209</v>
      </c>
      <c r="L46">
        <v>0</v>
      </c>
      <c r="M46">
        <v>5</v>
      </c>
      <c r="N46">
        <v>0.247</v>
      </c>
      <c r="O46" s="1" t="s">
        <v>20</v>
      </c>
    </row>
    <row r="47" spans="1:15" x14ac:dyDescent="0.2">
      <c r="A47" s="1" t="s">
        <v>138</v>
      </c>
      <c r="B47" s="1" t="s">
        <v>139</v>
      </c>
      <c r="C47" s="1" t="s">
        <v>140</v>
      </c>
      <c r="D47" s="1" t="s">
        <v>31</v>
      </c>
      <c r="E47">
        <v>1994</v>
      </c>
      <c r="F47" s="1" t="s">
        <v>19</v>
      </c>
      <c r="G47">
        <v>2.7599999904632568</v>
      </c>
      <c r="H47">
        <v>150</v>
      </c>
      <c r="I47">
        <v>0.41999998688697815</v>
      </c>
      <c r="J47">
        <v>0.6600000262260437</v>
      </c>
      <c r="K47">
        <v>0.77999997138977051</v>
      </c>
      <c r="L47">
        <v>0.31999999284744263</v>
      </c>
      <c r="M47">
        <v>32</v>
      </c>
      <c r="N47">
        <v>8.4000000000000005E-2</v>
      </c>
      <c r="O47" s="1" t="s">
        <v>20</v>
      </c>
    </row>
    <row r="48" spans="1:15" x14ac:dyDescent="0.2">
      <c r="A48" s="1" t="s">
        <v>141</v>
      </c>
      <c r="B48" s="1" t="s">
        <v>142</v>
      </c>
      <c r="C48" s="1" t="s">
        <v>17</v>
      </c>
      <c r="D48" s="1" t="s">
        <v>18</v>
      </c>
      <c r="E48">
        <v>2016</v>
      </c>
      <c r="F48" s="1" t="s">
        <v>19</v>
      </c>
      <c r="G48">
        <v>2.619999885559082</v>
      </c>
      <c r="H48">
        <v>186</v>
      </c>
      <c r="I48">
        <v>0.68000000715255737</v>
      </c>
      <c r="J48">
        <v>0.79000002145767212</v>
      </c>
      <c r="K48">
        <v>0.5</v>
      </c>
      <c r="L48">
        <v>0</v>
      </c>
      <c r="M48">
        <v>10</v>
      </c>
      <c r="N48">
        <v>0.23799999999999999</v>
      </c>
      <c r="O48" s="1" t="s">
        <v>20</v>
      </c>
    </row>
    <row r="49" spans="1:15" x14ac:dyDescent="0.2">
      <c r="A49" s="1" t="s">
        <v>143</v>
      </c>
      <c r="B49" s="1" t="s">
        <v>144</v>
      </c>
      <c r="C49" s="1" t="s">
        <v>43</v>
      </c>
      <c r="D49" s="1" t="s">
        <v>31</v>
      </c>
      <c r="E49">
        <v>2016</v>
      </c>
      <c r="F49" s="1" t="s">
        <v>19</v>
      </c>
      <c r="G49">
        <v>2.5899999141693115</v>
      </c>
      <c r="H49">
        <v>130</v>
      </c>
      <c r="I49">
        <v>0.62000000476837158</v>
      </c>
      <c r="J49">
        <v>0.68000000715255737</v>
      </c>
      <c r="K49">
        <v>0.38999998569488525</v>
      </c>
      <c r="L49">
        <v>5.9999998658895493E-2</v>
      </c>
      <c r="M49">
        <v>10</v>
      </c>
      <c r="N49">
        <v>0.23499999999999999</v>
      </c>
      <c r="O49" s="1" t="s">
        <v>20</v>
      </c>
    </row>
    <row r="50" spans="1:15" x14ac:dyDescent="0.2">
      <c r="A50" s="1" t="s">
        <v>145</v>
      </c>
      <c r="B50" s="1" t="s">
        <v>146</v>
      </c>
      <c r="C50" s="1" t="s">
        <v>147</v>
      </c>
      <c r="D50" s="1" t="s">
        <v>31</v>
      </c>
      <c r="E50">
        <v>2019</v>
      </c>
      <c r="F50" s="1" t="s">
        <v>19</v>
      </c>
      <c r="G50">
        <v>2.559999942779541</v>
      </c>
      <c r="H50">
        <v>140</v>
      </c>
      <c r="I50">
        <v>0.63999998569488525</v>
      </c>
      <c r="J50">
        <v>0.61000001430511475</v>
      </c>
      <c r="K50">
        <v>0.49000000953674316</v>
      </c>
      <c r="L50">
        <v>1.9999999552965164E-2</v>
      </c>
      <c r="M50">
        <v>7</v>
      </c>
      <c r="N50">
        <v>0.32</v>
      </c>
      <c r="O50" s="1" t="s">
        <v>20</v>
      </c>
    </row>
    <row r="51" spans="1:15" x14ac:dyDescent="0.2">
      <c r="A51" s="1" t="s">
        <v>148</v>
      </c>
      <c r="B51" s="1" t="s">
        <v>149</v>
      </c>
      <c r="C51" s="1" t="s">
        <v>27</v>
      </c>
      <c r="D51" s="1" t="s">
        <v>31</v>
      </c>
      <c r="E51">
        <v>2024</v>
      </c>
      <c r="F51" s="1" t="s">
        <v>19</v>
      </c>
      <c r="G51">
        <v>1.8400000333786011</v>
      </c>
      <c r="H51">
        <v>120</v>
      </c>
      <c r="I51">
        <v>0.72000002861022949</v>
      </c>
      <c r="J51">
        <v>0.68000000715255737</v>
      </c>
      <c r="K51">
        <v>0.55000001192092896</v>
      </c>
      <c r="L51">
        <v>0.18000000715255737</v>
      </c>
      <c r="M51">
        <v>2</v>
      </c>
      <c r="N51">
        <v>0.61299999999999999</v>
      </c>
      <c r="O51" s="1" t="s">
        <v>20</v>
      </c>
    </row>
    <row r="52" spans="1:15" x14ac:dyDescent="0.2">
      <c r="A52" s="1" t="s">
        <v>150</v>
      </c>
      <c r="B52" s="1" t="s">
        <v>151</v>
      </c>
      <c r="C52" s="1" t="s">
        <v>152</v>
      </c>
      <c r="D52" s="1" t="s">
        <v>18</v>
      </c>
      <c r="E52">
        <v>2021</v>
      </c>
      <c r="F52" s="1" t="s">
        <v>19</v>
      </c>
      <c r="G52">
        <v>1.6000000238418579</v>
      </c>
      <c r="H52">
        <v>90</v>
      </c>
      <c r="I52">
        <v>0.68000000715255737</v>
      </c>
      <c r="J52">
        <v>0.51999998092651367</v>
      </c>
      <c r="K52">
        <v>0.68999999761581421</v>
      </c>
      <c r="L52">
        <v>0.15999999642372131</v>
      </c>
      <c r="M52">
        <v>5</v>
      </c>
      <c r="N52">
        <v>0.26700000000000002</v>
      </c>
      <c r="O52" s="1" t="s">
        <v>20</v>
      </c>
    </row>
    <row r="53" spans="1:15" x14ac:dyDescent="0.2">
      <c r="A53" s="1" t="s">
        <v>153</v>
      </c>
      <c r="B53" s="1" t="s">
        <v>55</v>
      </c>
      <c r="C53" s="1" t="s">
        <v>87</v>
      </c>
      <c r="D53" s="1" t="s">
        <v>24</v>
      </c>
      <c r="E53">
        <v>2019</v>
      </c>
      <c r="F53" s="1" t="s">
        <v>19</v>
      </c>
      <c r="G53">
        <v>2.4000000953674316</v>
      </c>
      <c r="H53">
        <v>88</v>
      </c>
      <c r="I53">
        <v>0.43000000715255737</v>
      </c>
      <c r="J53">
        <v>0.43000000715255737</v>
      </c>
      <c r="K53">
        <v>7.0000000298023224E-2</v>
      </c>
      <c r="L53">
        <v>0.37999999523162842</v>
      </c>
      <c r="M53">
        <v>7</v>
      </c>
      <c r="N53">
        <v>0.3</v>
      </c>
      <c r="O53" s="1" t="s">
        <v>20</v>
      </c>
    </row>
    <row r="54" spans="1:15" x14ac:dyDescent="0.2">
      <c r="A54" s="1" t="s">
        <v>154</v>
      </c>
      <c r="B54" s="1" t="s">
        <v>39</v>
      </c>
      <c r="C54" s="1" t="s">
        <v>40</v>
      </c>
      <c r="D54" s="1" t="s">
        <v>31</v>
      </c>
      <c r="E54">
        <v>2017</v>
      </c>
      <c r="F54" s="1" t="s">
        <v>19</v>
      </c>
      <c r="G54">
        <v>3.4900000095367432</v>
      </c>
      <c r="H54">
        <v>168</v>
      </c>
      <c r="I54">
        <v>0.60000002384185791</v>
      </c>
      <c r="J54">
        <v>0.51999998092651367</v>
      </c>
      <c r="K54">
        <v>0.55000001192092896</v>
      </c>
      <c r="L54">
        <v>9.9999997764825821E-3</v>
      </c>
      <c r="M54">
        <v>9</v>
      </c>
      <c r="N54">
        <v>0.34899999999999998</v>
      </c>
      <c r="O54" s="1" t="s">
        <v>20</v>
      </c>
    </row>
    <row r="55" spans="1:15" x14ac:dyDescent="0.2">
      <c r="A55" s="1" t="s">
        <v>155</v>
      </c>
      <c r="B55" s="1" t="s">
        <v>22</v>
      </c>
      <c r="C55" s="1" t="s">
        <v>17</v>
      </c>
      <c r="D55" s="1" t="s">
        <v>24</v>
      </c>
      <c r="E55">
        <v>2021</v>
      </c>
      <c r="F55" s="1" t="s">
        <v>19</v>
      </c>
      <c r="G55">
        <v>1.6200000047683716</v>
      </c>
      <c r="H55">
        <v>126</v>
      </c>
      <c r="I55">
        <v>0.68000000715255737</v>
      </c>
      <c r="J55">
        <v>0.82999998331069946</v>
      </c>
      <c r="K55">
        <v>0.72000002861022949</v>
      </c>
      <c r="L55">
        <v>0</v>
      </c>
      <c r="M55">
        <v>5</v>
      </c>
      <c r="N55">
        <v>0.27</v>
      </c>
      <c r="O55" s="1" t="s">
        <v>20</v>
      </c>
    </row>
    <row r="56" spans="1:15" x14ac:dyDescent="0.2">
      <c r="A56" s="1" t="s">
        <v>156</v>
      </c>
      <c r="B56" s="1" t="s">
        <v>80</v>
      </c>
      <c r="C56" s="1" t="s">
        <v>105</v>
      </c>
      <c r="D56" s="1" t="s">
        <v>82</v>
      </c>
      <c r="E56">
        <v>2021</v>
      </c>
      <c r="F56" s="1" t="s">
        <v>19</v>
      </c>
      <c r="G56">
        <v>1.6000000238418579</v>
      </c>
      <c r="H56">
        <v>110</v>
      </c>
      <c r="I56">
        <v>0.79000002145767212</v>
      </c>
      <c r="J56">
        <v>0.73000001907348633</v>
      </c>
      <c r="K56">
        <v>0.74000000953674316</v>
      </c>
      <c r="L56">
        <v>9.9999997764825821E-3</v>
      </c>
      <c r="M56">
        <v>5</v>
      </c>
      <c r="N56">
        <v>0.26700000000000002</v>
      </c>
      <c r="O56" s="1" t="s">
        <v>20</v>
      </c>
    </row>
    <row r="57" spans="1:15" x14ac:dyDescent="0.2">
      <c r="A57" s="1" t="s">
        <v>157</v>
      </c>
      <c r="B57" s="1" t="s">
        <v>158</v>
      </c>
      <c r="C57" s="1" t="s">
        <v>27</v>
      </c>
      <c r="D57" s="1" t="s">
        <v>24</v>
      </c>
      <c r="E57">
        <v>2014</v>
      </c>
      <c r="F57" s="1" t="s">
        <v>19</v>
      </c>
      <c r="G57">
        <v>2.3399999141693115</v>
      </c>
      <c r="H57">
        <v>82</v>
      </c>
      <c r="I57">
        <v>0.56000000238418579</v>
      </c>
      <c r="J57">
        <v>0.54000002145767212</v>
      </c>
      <c r="K57">
        <v>0.72000002861022949</v>
      </c>
      <c r="L57">
        <v>0.30000001192092896</v>
      </c>
      <c r="M57">
        <v>12</v>
      </c>
      <c r="N57">
        <v>0.18</v>
      </c>
      <c r="O57" s="1" t="s">
        <v>20</v>
      </c>
    </row>
    <row r="58" spans="1:15" x14ac:dyDescent="0.2">
      <c r="A58" s="1" t="s">
        <v>159</v>
      </c>
      <c r="B58" s="1" t="s">
        <v>160</v>
      </c>
      <c r="C58" s="1" t="s">
        <v>87</v>
      </c>
      <c r="D58" s="1" t="s">
        <v>31</v>
      </c>
      <c r="E58">
        <v>2018</v>
      </c>
      <c r="F58" s="1" t="s">
        <v>19</v>
      </c>
      <c r="G58">
        <v>2.3199999332427979</v>
      </c>
      <c r="H58">
        <v>191</v>
      </c>
      <c r="I58">
        <v>0.6600000262260437</v>
      </c>
      <c r="J58">
        <v>0.82999998331069946</v>
      </c>
      <c r="K58">
        <v>0.8399999737739563</v>
      </c>
      <c r="L58">
        <v>3.9999999105930328E-2</v>
      </c>
      <c r="M58">
        <v>8</v>
      </c>
      <c r="N58">
        <v>0.25800000000000001</v>
      </c>
      <c r="O58" s="1" t="s">
        <v>20</v>
      </c>
    </row>
    <row r="59" spans="1:15" x14ac:dyDescent="0.2">
      <c r="A59" s="1" t="s">
        <v>161</v>
      </c>
      <c r="B59" s="1" t="s">
        <v>162</v>
      </c>
      <c r="C59" s="1" t="s">
        <v>163</v>
      </c>
      <c r="D59" s="1" t="s">
        <v>37</v>
      </c>
      <c r="E59">
        <v>2013</v>
      </c>
      <c r="F59" s="1" t="s">
        <v>19</v>
      </c>
      <c r="G59">
        <v>2.5</v>
      </c>
      <c r="H59">
        <v>131</v>
      </c>
      <c r="I59">
        <v>0.6600000262260437</v>
      </c>
      <c r="J59">
        <v>0.55000001192092896</v>
      </c>
      <c r="K59">
        <v>0.81999999284744263</v>
      </c>
      <c r="L59">
        <v>0.5</v>
      </c>
      <c r="M59">
        <v>13</v>
      </c>
      <c r="N59">
        <v>0.17899999999999999</v>
      </c>
      <c r="O59" s="1" t="s">
        <v>20</v>
      </c>
    </row>
    <row r="60" spans="1:15" x14ac:dyDescent="0.2">
      <c r="A60" s="1" t="s">
        <v>164</v>
      </c>
      <c r="B60" s="1" t="s">
        <v>165</v>
      </c>
      <c r="C60" s="1" t="s">
        <v>166</v>
      </c>
      <c r="D60" s="1" t="s">
        <v>167</v>
      </c>
      <c r="E60">
        <v>2016</v>
      </c>
      <c r="F60" s="1" t="s">
        <v>19</v>
      </c>
      <c r="G60">
        <v>2.2899999618530273</v>
      </c>
      <c r="H60">
        <v>78</v>
      </c>
      <c r="I60">
        <v>0.46000000834465027</v>
      </c>
      <c r="J60">
        <v>0.47999998927116394</v>
      </c>
      <c r="K60">
        <v>0.2800000011920929</v>
      </c>
      <c r="L60">
        <v>0.25999999046325684</v>
      </c>
      <c r="M60">
        <v>10</v>
      </c>
      <c r="N60">
        <v>0.20799999999999999</v>
      </c>
      <c r="O60" s="1" t="s">
        <v>20</v>
      </c>
    </row>
    <row r="61" spans="1:15" x14ac:dyDescent="0.2">
      <c r="A61" s="1" t="s">
        <v>168</v>
      </c>
      <c r="B61" s="1" t="s">
        <v>169</v>
      </c>
      <c r="C61" s="1" t="s">
        <v>56</v>
      </c>
      <c r="D61" s="1" t="s">
        <v>31</v>
      </c>
      <c r="E61">
        <v>2020</v>
      </c>
      <c r="F61" s="1" t="s">
        <v>19</v>
      </c>
      <c r="G61">
        <v>2.2599999904632568</v>
      </c>
      <c r="H61">
        <v>86</v>
      </c>
      <c r="I61">
        <v>0.43999999761581421</v>
      </c>
      <c r="J61">
        <v>0.30000001192092896</v>
      </c>
      <c r="K61">
        <v>0.30000001192092896</v>
      </c>
      <c r="L61">
        <v>0.54000002145767212</v>
      </c>
      <c r="M61">
        <v>6</v>
      </c>
      <c r="N61">
        <v>0.32300000000000001</v>
      </c>
      <c r="O61" s="1" t="s">
        <v>74</v>
      </c>
    </row>
    <row r="62" spans="1:15" x14ac:dyDescent="0.2">
      <c r="A62" s="1" t="s">
        <v>170</v>
      </c>
      <c r="B62" s="1" t="s">
        <v>171</v>
      </c>
      <c r="C62" s="1" t="s">
        <v>137</v>
      </c>
      <c r="D62" s="1" t="s">
        <v>31</v>
      </c>
      <c r="E62">
        <v>2020</v>
      </c>
      <c r="F62" s="1" t="s">
        <v>19</v>
      </c>
      <c r="G62">
        <v>2.2000000476837158</v>
      </c>
      <c r="H62">
        <v>150</v>
      </c>
      <c r="I62">
        <v>0.69999998807907104</v>
      </c>
      <c r="J62">
        <v>0.75</v>
      </c>
      <c r="K62">
        <v>0.60000002384185791</v>
      </c>
      <c r="L62">
        <v>1.9999999552965164E-2</v>
      </c>
      <c r="M62">
        <v>6</v>
      </c>
      <c r="N62">
        <v>0.314</v>
      </c>
      <c r="O62" s="1" t="s">
        <v>20</v>
      </c>
    </row>
    <row r="63" spans="1:15" x14ac:dyDescent="0.2">
      <c r="A63" s="1" t="s">
        <v>172</v>
      </c>
      <c r="B63" s="1" t="s">
        <v>22</v>
      </c>
      <c r="C63" s="1" t="s">
        <v>173</v>
      </c>
      <c r="D63" s="1" t="s">
        <v>24</v>
      </c>
      <c r="E63">
        <v>2014</v>
      </c>
      <c r="F63" s="1" t="s">
        <v>19</v>
      </c>
      <c r="G63">
        <v>3.4500000476837158</v>
      </c>
      <c r="H63">
        <v>96</v>
      </c>
      <c r="I63">
        <v>0.60000002384185791</v>
      </c>
      <c r="J63">
        <v>0.56000000238418579</v>
      </c>
      <c r="K63">
        <v>0.51999998092651367</v>
      </c>
      <c r="L63">
        <v>0.31000000238418579</v>
      </c>
      <c r="M63">
        <v>12</v>
      </c>
      <c r="N63">
        <v>0.26500000000000001</v>
      </c>
      <c r="O63" s="1" t="s">
        <v>20</v>
      </c>
    </row>
    <row r="64" spans="1:15" x14ac:dyDescent="0.2">
      <c r="A64" s="1" t="s">
        <v>174</v>
      </c>
      <c r="B64" s="1" t="s">
        <v>151</v>
      </c>
      <c r="C64" s="1" t="s">
        <v>175</v>
      </c>
      <c r="D64" s="1" t="s">
        <v>18</v>
      </c>
      <c r="E64">
        <v>2015</v>
      </c>
      <c r="F64" s="1" t="s">
        <v>19</v>
      </c>
      <c r="G64">
        <v>2.9300000667572021</v>
      </c>
      <c r="H64">
        <v>102</v>
      </c>
      <c r="I64">
        <v>0.62000000476837158</v>
      </c>
      <c r="J64">
        <v>0.37999999523162842</v>
      </c>
      <c r="K64">
        <v>0.55000001192092896</v>
      </c>
      <c r="L64">
        <v>0.46000000834465027</v>
      </c>
      <c r="M64">
        <v>11</v>
      </c>
      <c r="N64">
        <v>0.24399999999999999</v>
      </c>
      <c r="O64" s="1" t="s">
        <v>74</v>
      </c>
    </row>
    <row r="65" spans="1:15" x14ac:dyDescent="0.2">
      <c r="A65" s="1" t="s">
        <v>176</v>
      </c>
      <c r="B65" s="1" t="s">
        <v>177</v>
      </c>
      <c r="C65" s="1" t="s">
        <v>27</v>
      </c>
      <c r="D65" s="1" t="s">
        <v>31</v>
      </c>
      <c r="E65">
        <v>2018</v>
      </c>
      <c r="F65" s="1" t="s">
        <v>19</v>
      </c>
      <c r="G65">
        <v>2.8199999332427979</v>
      </c>
      <c r="H65">
        <v>130</v>
      </c>
      <c r="I65">
        <v>0.57999998331069946</v>
      </c>
      <c r="J65">
        <v>0.68999999761581421</v>
      </c>
      <c r="K65">
        <v>0.30000001192092896</v>
      </c>
      <c r="L65">
        <v>5.000000074505806E-2</v>
      </c>
      <c r="M65">
        <v>8</v>
      </c>
      <c r="N65">
        <v>0.313</v>
      </c>
      <c r="O65" s="1" t="s">
        <v>20</v>
      </c>
    </row>
    <row r="66" spans="1:15" x14ac:dyDescent="0.2">
      <c r="A66" s="1" t="s">
        <v>178</v>
      </c>
      <c r="B66" s="1" t="s">
        <v>179</v>
      </c>
      <c r="C66" s="1" t="s">
        <v>48</v>
      </c>
      <c r="D66" s="1" t="s">
        <v>49</v>
      </c>
      <c r="E66">
        <v>2017</v>
      </c>
      <c r="F66" s="1" t="s">
        <v>19</v>
      </c>
      <c r="G66">
        <v>2.9000000953674316</v>
      </c>
      <c r="H66">
        <v>103</v>
      </c>
      <c r="I66">
        <v>0.62000000476837158</v>
      </c>
      <c r="J66">
        <v>0.73000001907348633</v>
      </c>
      <c r="K66">
        <v>0.52999997138977051</v>
      </c>
      <c r="L66">
        <v>5.9999998658895493E-2</v>
      </c>
      <c r="M66">
        <v>9</v>
      </c>
      <c r="N66">
        <v>0.28999999999999998</v>
      </c>
      <c r="O66" s="1" t="s">
        <v>20</v>
      </c>
    </row>
    <row r="67" spans="1:15" x14ac:dyDescent="0.2">
      <c r="A67" s="1" t="s">
        <v>180</v>
      </c>
      <c r="B67" s="1" t="s">
        <v>146</v>
      </c>
      <c r="C67" s="1" t="s">
        <v>152</v>
      </c>
      <c r="D67" s="1" t="s">
        <v>31</v>
      </c>
      <c r="E67">
        <v>2020</v>
      </c>
      <c r="F67" s="1" t="s">
        <v>19</v>
      </c>
      <c r="G67">
        <v>2.6500000953674316</v>
      </c>
      <c r="H67">
        <v>144</v>
      </c>
      <c r="I67">
        <v>0.74000000953674316</v>
      </c>
      <c r="J67">
        <v>0.6600000262260437</v>
      </c>
      <c r="K67">
        <v>0.68999999761581421</v>
      </c>
      <c r="L67">
        <v>3.9999999105930328E-2</v>
      </c>
      <c r="M67">
        <v>6</v>
      </c>
      <c r="N67">
        <v>0.379</v>
      </c>
      <c r="O67" s="1" t="s">
        <v>20</v>
      </c>
    </row>
    <row r="68" spans="1:15" x14ac:dyDescent="0.2">
      <c r="A68" s="1" t="s">
        <v>181</v>
      </c>
      <c r="B68" s="1" t="s">
        <v>182</v>
      </c>
      <c r="C68" s="1" t="s">
        <v>43</v>
      </c>
      <c r="D68" s="1" t="s">
        <v>31</v>
      </c>
      <c r="E68">
        <v>2016</v>
      </c>
      <c r="F68" s="1" t="s">
        <v>19</v>
      </c>
      <c r="G68">
        <v>3.4200000762939453</v>
      </c>
      <c r="H68">
        <v>98</v>
      </c>
      <c r="I68">
        <v>0.72000002861022949</v>
      </c>
      <c r="J68">
        <v>0.62000000476837158</v>
      </c>
      <c r="K68">
        <v>0.43999999761581421</v>
      </c>
      <c r="L68">
        <v>5.9999998658895493E-2</v>
      </c>
      <c r="M68">
        <v>10</v>
      </c>
      <c r="N68">
        <v>0.311</v>
      </c>
      <c r="O68" s="1" t="s">
        <v>20</v>
      </c>
    </row>
    <row r="69" spans="1:15" x14ac:dyDescent="0.2">
      <c r="A69" s="1" t="s">
        <v>183</v>
      </c>
      <c r="B69" s="1" t="s">
        <v>22</v>
      </c>
      <c r="C69" s="1" t="s">
        <v>184</v>
      </c>
      <c r="D69" s="1" t="s">
        <v>24</v>
      </c>
      <c r="E69">
        <v>2014</v>
      </c>
      <c r="F69" s="1" t="s">
        <v>19</v>
      </c>
      <c r="G69">
        <v>2.0999999046325684</v>
      </c>
      <c r="H69">
        <v>79</v>
      </c>
      <c r="I69">
        <v>0.77999997138977051</v>
      </c>
      <c r="J69">
        <v>0.43999999761581421</v>
      </c>
      <c r="K69">
        <v>0.46000000834465027</v>
      </c>
      <c r="L69">
        <v>0.30000001192092896</v>
      </c>
      <c r="M69">
        <v>12</v>
      </c>
      <c r="N69">
        <v>0.16200000000000001</v>
      </c>
      <c r="O69" s="1" t="s">
        <v>20</v>
      </c>
    </row>
    <row r="70" spans="1:15" x14ac:dyDescent="0.2">
      <c r="A70" s="1" t="s">
        <v>185</v>
      </c>
      <c r="B70" s="1" t="s">
        <v>84</v>
      </c>
      <c r="C70" s="1" t="s">
        <v>87</v>
      </c>
      <c r="D70" s="1" t="s">
        <v>31</v>
      </c>
      <c r="E70">
        <v>2013</v>
      </c>
      <c r="F70" s="1" t="s">
        <v>19</v>
      </c>
      <c r="G70">
        <v>2.0799999237060547</v>
      </c>
      <c r="H70">
        <v>72</v>
      </c>
      <c r="I70">
        <v>0.36000001430511475</v>
      </c>
      <c r="J70">
        <v>0.52999997138977051</v>
      </c>
      <c r="K70">
        <v>0.23999999463558197</v>
      </c>
      <c r="L70">
        <v>0.23999999463558197</v>
      </c>
      <c r="M70">
        <v>13</v>
      </c>
      <c r="N70">
        <v>0.14899999999999999</v>
      </c>
      <c r="O70" s="1" t="s">
        <v>20</v>
      </c>
    </row>
    <row r="71" spans="1:15" x14ac:dyDescent="0.2">
      <c r="A71" s="1" t="s">
        <v>186</v>
      </c>
      <c r="B71" s="1" t="s">
        <v>187</v>
      </c>
      <c r="C71" s="1" t="s">
        <v>56</v>
      </c>
      <c r="D71" s="1" t="s">
        <v>31</v>
      </c>
      <c r="E71">
        <v>2022</v>
      </c>
      <c r="F71" s="1" t="s">
        <v>19</v>
      </c>
      <c r="G71">
        <v>2.6800000667572021</v>
      </c>
      <c r="H71">
        <v>98</v>
      </c>
      <c r="I71">
        <v>0.5899999737739563</v>
      </c>
      <c r="J71">
        <v>0.55000001192092896</v>
      </c>
      <c r="K71">
        <v>0.86000001430511475</v>
      </c>
      <c r="L71">
        <v>0.2800000011920929</v>
      </c>
      <c r="M71">
        <v>4</v>
      </c>
      <c r="N71">
        <v>0.53600000000000003</v>
      </c>
      <c r="O71" s="1" t="s">
        <v>20</v>
      </c>
    </row>
    <row r="72" spans="1:15" x14ac:dyDescent="0.2">
      <c r="A72" s="1" t="s">
        <v>188</v>
      </c>
      <c r="B72" s="1" t="s">
        <v>189</v>
      </c>
      <c r="C72" s="1" t="s">
        <v>27</v>
      </c>
      <c r="D72" s="1" t="s">
        <v>37</v>
      </c>
      <c r="E72">
        <v>2016</v>
      </c>
      <c r="F72" s="1" t="s">
        <v>19</v>
      </c>
      <c r="G72">
        <v>2.9600000381469727</v>
      </c>
      <c r="H72">
        <v>84</v>
      </c>
      <c r="I72">
        <v>0.63999998569488525</v>
      </c>
      <c r="J72">
        <v>0.43999999761581421</v>
      </c>
      <c r="K72">
        <v>0.55000001192092896</v>
      </c>
      <c r="L72">
        <v>0.18000000715255737</v>
      </c>
      <c r="M72">
        <v>10</v>
      </c>
      <c r="N72">
        <v>0.26900000000000002</v>
      </c>
      <c r="O72" s="1" t="s">
        <v>20</v>
      </c>
    </row>
    <row r="73" spans="1:15" x14ac:dyDescent="0.2">
      <c r="A73" s="1" t="s">
        <v>190</v>
      </c>
      <c r="B73" s="1" t="s">
        <v>191</v>
      </c>
      <c r="C73" s="1" t="s">
        <v>137</v>
      </c>
      <c r="D73" s="1" t="s">
        <v>31</v>
      </c>
      <c r="E73">
        <v>2021</v>
      </c>
      <c r="F73" s="1" t="s">
        <v>19</v>
      </c>
      <c r="G73">
        <v>1.9900000095367432</v>
      </c>
      <c r="H73">
        <v>144</v>
      </c>
      <c r="I73">
        <v>0.57999998331069946</v>
      </c>
      <c r="J73">
        <v>0.85000002384185791</v>
      </c>
      <c r="K73">
        <v>0.68000000715255737</v>
      </c>
      <c r="L73">
        <v>1.9999999552965164E-2</v>
      </c>
      <c r="M73">
        <v>5</v>
      </c>
      <c r="N73">
        <v>0.33200000000000002</v>
      </c>
      <c r="O73" s="1" t="s">
        <v>20</v>
      </c>
    </row>
    <row r="74" spans="1:15" x14ac:dyDescent="0.2">
      <c r="A74" s="1" t="s">
        <v>192</v>
      </c>
      <c r="B74" s="1" t="s">
        <v>193</v>
      </c>
      <c r="C74" s="1" t="s">
        <v>56</v>
      </c>
      <c r="D74" s="1" t="s">
        <v>31</v>
      </c>
      <c r="E74">
        <v>2021</v>
      </c>
      <c r="F74" s="1" t="s">
        <v>19</v>
      </c>
      <c r="G74">
        <v>1.6399999856948853</v>
      </c>
      <c r="H74">
        <v>138</v>
      </c>
      <c r="I74">
        <v>0.75999999046325684</v>
      </c>
      <c r="J74">
        <v>0.80000001192092896</v>
      </c>
      <c r="K74">
        <v>0.95999997854232788</v>
      </c>
      <c r="L74">
        <v>5.9999998658895493E-2</v>
      </c>
      <c r="M74">
        <v>5</v>
      </c>
      <c r="N74">
        <v>0.27300000000000002</v>
      </c>
      <c r="O74" s="1" t="s">
        <v>20</v>
      </c>
    </row>
    <row r="75" spans="1:15" x14ac:dyDescent="0.2">
      <c r="A75" s="1" t="s">
        <v>194</v>
      </c>
      <c r="B75" s="1" t="s">
        <v>195</v>
      </c>
      <c r="C75" s="1" t="s">
        <v>87</v>
      </c>
      <c r="D75" s="1" t="s">
        <v>31</v>
      </c>
      <c r="E75">
        <v>2024</v>
      </c>
      <c r="F75" s="1" t="s">
        <v>19</v>
      </c>
      <c r="G75">
        <v>1.3999999761581421</v>
      </c>
      <c r="H75">
        <v>97</v>
      </c>
      <c r="I75">
        <v>0.46000000834465027</v>
      </c>
      <c r="J75">
        <v>0.68000000715255737</v>
      </c>
      <c r="K75">
        <v>0.46000000834465027</v>
      </c>
      <c r="L75">
        <v>7.0000000298023224E-2</v>
      </c>
      <c r="M75">
        <v>2</v>
      </c>
      <c r="N75">
        <v>0.46700000000000003</v>
      </c>
      <c r="O75" s="1" t="s">
        <v>20</v>
      </c>
    </row>
    <row r="76" spans="1:15" x14ac:dyDescent="0.2">
      <c r="A76" s="1" t="s">
        <v>196</v>
      </c>
      <c r="B76" s="1" t="s">
        <v>197</v>
      </c>
      <c r="C76" s="1" t="s">
        <v>27</v>
      </c>
      <c r="D76" s="1" t="s">
        <v>31</v>
      </c>
      <c r="E76">
        <v>2022</v>
      </c>
      <c r="F76" s="1" t="s">
        <v>19</v>
      </c>
      <c r="G76">
        <v>2.7000000476837158</v>
      </c>
      <c r="H76">
        <v>97</v>
      </c>
      <c r="I76">
        <v>0.62000000476837158</v>
      </c>
      <c r="J76">
        <v>0.62000000476837158</v>
      </c>
      <c r="K76">
        <v>0.43999999761581421</v>
      </c>
      <c r="L76">
        <v>0.14000000059604645</v>
      </c>
      <c r="M76">
        <v>4</v>
      </c>
      <c r="N76">
        <v>0.54</v>
      </c>
      <c r="O76" s="1" t="s">
        <v>20</v>
      </c>
    </row>
    <row r="77" spans="1:15" x14ac:dyDescent="0.2">
      <c r="A77" s="1" t="s">
        <v>198</v>
      </c>
      <c r="B77" s="1" t="s">
        <v>199</v>
      </c>
      <c r="C77" s="1" t="s">
        <v>27</v>
      </c>
      <c r="D77" s="1" t="s">
        <v>200</v>
      </c>
      <c r="E77">
        <v>2020</v>
      </c>
      <c r="F77" s="1" t="s">
        <v>19</v>
      </c>
      <c r="G77">
        <v>1.8600000143051147</v>
      </c>
      <c r="H77">
        <v>107</v>
      </c>
      <c r="I77">
        <v>0.75999999046325684</v>
      </c>
      <c r="J77">
        <v>0.68999999761581421</v>
      </c>
      <c r="K77">
        <v>0.64999997615814209</v>
      </c>
      <c r="L77">
        <v>9.9999997764825821E-3</v>
      </c>
      <c r="M77">
        <v>6</v>
      </c>
      <c r="N77">
        <v>0.26600000000000001</v>
      </c>
      <c r="O77" s="1" t="s">
        <v>20</v>
      </c>
    </row>
    <row r="78" spans="1:15" x14ac:dyDescent="0.2">
      <c r="A78" s="1" t="s">
        <v>201</v>
      </c>
      <c r="B78" s="1" t="s">
        <v>202</v>
      </c>
      <c r="C78" s="1" t="s">
        <v>203</v>
      </c>
      <c r="D78" s="1" t="s">
        <v>82</v>
      </c>
      <c r="E78">
        <v>2024</v>
      </c>
      <c r="F78" s="1" t="s">
        <v>19</v>
      </c>
      <c r="G78">
        <v>1.6599999666213989</v>
      </c>
      <c r="H78">
        <v>145</v>
      </c>
      <c r="I78">
        <v>0.86000001430511475</v>
      </c>
      <c r="J78">
        <v>0.79000002145767212</v>
      </c>
      <c r="K78">
        <v>0.87999999523162842</v>
      </c>
      <c r="L78">
        <v>5.000000074505806E-2</v>
      </c>
      <c r="M78">
        <v>2</v>
      </c>
      <c r="N78">
        <v>0.55300000000000005</v>
      </c>
      <c r="O78" s="1" t="s">
        <v>20</v>
      </c>
    </row>
    <row r="79" spans="1:15" x14ac:dyDescent="0.2">
      <c r="A79" s="1" t="s">
        <v>204</v>
      </c>
      <c r="B79" s="1" t="s">
        <v>205</v>
      </c>
      <c r="C79" s="1" t="s">
        <v>40</v>
      </c>
      <c r="D79" s="1" t="s">
        <v>31</v>
      </c>
      <c r="E79">
        <v>2006</v>
      </c>
      <c r="F79" s="1" t="s">
        <v>19</v>
      </c>
      <c r="G79">
        <v>1.7799999713897705</v>
      </c>
      <c r="H79">
        <v>64</v>
      </c>
      <c r="I79">
        <v>0.31000000238418579</v>
      </c>
      <c r="J79">
        <v>0.85000002384185791</v>
      </c>
      <c r="K79">
        <v>0.11999999731779099</v>
      </c>
      <c r="L79">
        <v>0</v>
      </c>
      <c r="M79">
        <v>20</v>
      </c>
      <c r="N79">
        <v>8.5000000000000006E-2</v>
      </c>
      <c r="O79" s="1" t="s">
        <v>20</v>
      </c>
    </row>
    <row r="80" spans="1:15" x14ac:dyDescent="0.2">
      <c r="A80" s="1" t="s">
        <v>206</v>
      </c>
      <c r="B80" s="1" t="s">
        <v>207</v>
      </c>
      <c r="C80" s="1" t="s">
        <v>40</v>
      </c>
      <c r="D80" s="1" t="s">
        <v>31</v>
      </c>
      <c r="E80">
        <v>1998</v>
      </c>
      <c r="F80" s="1" t="s">
        <v>19</v>
      </c>
      <c r="G80">
        <v>1.7200000286102295</v>
      </c>
      <c r="H80">
        <v>77</v>
      </c>
      <c r="I80">
        <v>0.33000001311302185</v>
      </c>
      <c r="J80">
        <v>0.2800000011920929</v>
      </c>
      <c r="K80">
        <v>0.14000000059604645</v>
      </c>
      <c r="L80">
        <v>0.57999998331069946</v>
      </c>
      <c r="M80">
        <v>28</v>
      </c>
      <c r="N80">
        <v>5.8999999999999997E-2</v>
      </c>
      <c r="O80" s="1" t="s">
        <v>74</v>
      </c>
    </row>
    <row r="81" spans="1:15" x14ac:dyDescent="0.2">
      <c r="A81" s="1" t="s">
        <v>208</v>
      </c>
      <c r="B81" s="1" t="s">
        <v>209</v>
      </c>
      <c r="C81" s="1" t="s">
        <v>43</v>
      </c>
      <c r="D81" s="1" t="s">
        <v>37</v>
      </c>
      <c r="E81">
        <v>2019</v>
      </c>
      <c r="F81" s="1" t="s">
        <v>19</v>
      </c>
      <c r="G81">
        <v>1.7000000476837158</v>
      </c>
      <c r="H81">
        <v>145</v>
      </c>
      <c r="I81">
        <v>0.72000002861022949</v>
      </c>
      <c r="J81">
        <v>0.79000002145767212</v>
      </c>
      <c r="K81">
        <v>0.37999999523162842</v>
      </c>
      <c r="L81">
        <v>3.9999999105930328E-2</v>
      </c>
      <c r="M81">
        <v>7</v>
      </c>
      <c r="N81">
        <v>0.21299999999999999</v>
      </c>
      <c r="O81" s="1" t="s">
        <v>20</v>
      </c>
    </row>
    <row r="82" spans="1:15" x14ac:dyDescent="0.2">
      <c r="A82" s="1" t="s">
        <v>210</v>
      </c>
      <c r="B82" s="1" t="s">
        <v>211</v>
      </c>
      <c r="C82" s="1" t="s">
        <v>212</v>
      </c>
      <c r="D82" s="1" t="s">
        <v>31</v>
      </c>
      <c r="E82">
        <v>2024</v>
      </c>
      <c r="F82" s="1" t="s">
        <v>19</v>
      </c>
      <c r="G82">
        <v>1.6799999475479126</v>
      </c>
      <c r="H82">
        <v>106</v>
      </c>
      <c r="I82">
        <v>0.72000002861022949</v>
      </c>
      <c r="J82">
        <v>0.64999997615814209</v>
      </c>
      <c r="K82">
        <v>0.72000002861022949</v>
      </c>
      <c r="L82">
        <v>0.14000000059604645</v>
      </c>
      <c r="M82">
        <v>2</v>
      </c>
      <c r="N82">
        <v>0.56000000000000005</v>
      </c>
      <c r="O82" s="1" t="s">
        <v>20</v>
      </c>
    </row>
    <row r="83" spans="1:15" x14ac:dyDescent="0.2">
      <c r="A83" s="1" t="s">
        <v>213</v>
      </c>
      <c r="B83" s="1" t="s">
        <v>214</v>
      </c>
      <c r="C83" s="1" t="s">
        <v>215</v>
      </c>
      <c r="D83" s="1" t="s">
        <v>31</v>
      </c>
      <c r="E83">
        <v>2023</v>
      </c>
      <c r="F83" s="1" t="s">
        <v>19</v>
      </c>
      <c r="G83">
        <v>1.6499999761581421</v>
      </c>
      <c r="H83">
        <v>90</v>
      </c>
      <c r="I83">
        <v>0.60000002384185791</v>
      </c>
      <c r="J83">
        <v>0.55000001192092896</v>
      </c>
      <c r="K83">
        <v>0.63999998569488525</v>
      </c>
      <c r="L83">
        <v>0.20999999344348907</v>
      </c>
      <c r="M83">
        <v>3</v>
      </c>
      <c r="N83">
        <v>0.41199999999999998</v>
      </c>
      <c r="O83" s="1" t="s">
        <v>20</v>
      </c>
    </row>
    <row r="84" spans="1:15" x14ac:dyDescent="0.2">
      <c r="A84" s="1" t="s">
        <v>216</v>
      </c>
      <c r="B84" s="1" t="s">
        <v>217</v>
      </c>
      <c r="C84" s="1" t="s">
        <v>163</v>
      </c>
      <c r="D84" s="1" t="s">
        <v>218</v>
      </c>
      <c r="E84">
        <v>2024</v>
      </c>
      <c r="F84" s="1" t="s">
        <v>19</v>
      </c>
      <c r="G84">
        <v>1.6299999952316284</v>
      </c>
      <c r="H84">
        <v>86</v>
      </c>
      <c r="I84">
        <v>0.62000000476837158</v>
      </c>
      <c r="J84">
        <v>0.47999998927116394</v>
      </c>
      <c r="K84">
        <v>0.68000000715255737</v>
      </c>
      <c r="L84">
        <v>0.41999998688697815</v>
      </c>
      <c r="M84">
        <v>2</v>
      </c>
      <c r="N84">
        <v>0.54300000000000004</v>
      </c>
      <c r="O84" s="1" t="s">
        <v>20</v>
      </c>
    </row>
    <row r="85" spans="1:15" x14ac:dyDescent="0.2">
      <c r="A85" s="1" t="s">
        <v>219</v>
      </c>
      <c r="B85" s="1" t="s">
        <v>55</v>
      </c>
      <c r="C85" s="1" t="s">
        <v>220</v>
      </c>
      <c r="D85" s="1" t="s">
        <v>24</v>
      </c>
      <c r="E85">
        <v>2017</v>
      </c>
      <c r="F85" s="1" t="s">
        <v>19</v>
      </c>
      <c r="G85">
        <v>2.0499999523162842</v>
      </c>
      <c r="H85">
        <v>90</v>
      </c>
      <c r="I85">
        <v>0.30000001192092896</v>
      </c>
      <c r="J85">
        <v>0.52999997138977051</v>
      </c>
      <c r="K85">
        <v>0.10000000149011612</v>
      </c>
      <c r="L85">
        <v>0.20000000298023224</v>
      </c>
      <c r="M85">
        <v>9</v>
      </c>
      <c r="N85">
        <v>0.20499999999999999</v>
      </c>
      <c r="O85" s="1" t="s">
        <v>20</v>
      </c>
    </row>
    <row r="86" spans="1:15" x14ac:dyDescent="0.2">
      <c r="A86" s="1" t="s">
        <v>221</v>
      </c>
      <c r="B86" s="1" t="s">
        <v>55</v>
      </c>
      <c r="C86" s="1" t="s">
        <v>56</v>
      </c>
      <c r="D86" s="1" t="s">
        <v>24</v>
      </c>
      <c r="E86">
        <v>2019</v>
      </c>
      <c r="F86" s="1" t="s">
        <v>19</v>
      </c>
      <c r="G86">
        <v>1.8999999761581421</v>
      </c>
      <c r="H86">
        <v>108</v>
      </c>
      <c r="I86">
        <v>0.56000000238418579</v>
      </c>
      <c r="J86">
        <v>0.75999999046325684</v>
      </c>
      <c r="K86">
        <v>0.6600000262260437</v>
      </c>
      <c r="L86">
        <v>3.9999999105930328E-2</v>
      </c>
      <c r="M86">
        <v>7</v>
      </c>
      <c r="N86">
        <v>0.23699999999999999</v>
      </c>
      <c r="O86" s="1" t="s">
        <v>20</v>
      </c>
    </row>
    <row r="87" spans="1:15" x14ac:dyDescent="0.2">
      <c r="A87" s="1" t="s">
        <v>222</v>
      </c>
      <c r="B87" s="1" t="s">
        <v>223</v>
      </c>
      <c r="C87" s="1" t="s">
        <v>56</v>
      </c>
      <c r="D87" s="1" t="s">
        <v>224</v>
      </c>
      <c r="E87">
        <v>2019</v>
      </c>
      <c r="F87" s="1" t="s">
        <v>19</v>
      </c>
      <c r="G87">
        <v>1.8799999952316284</v>
      </c>
      <c r="H87">
        <v>86</v>
      </c>
      <c r="I87">
        <v>0.34000000357627869</v>
      </c>
      <c r="J87">
        <v>0.30000001192092896</v>
      </c>
      <c r="K87">
        <v>0.10000000149011612</v>
      </c>
      <c r="L87">
        <v>0.51999998092651367</v>
      </c>
      <c r="M87">
        <v>7</v>
      </c>
      <c r="N87">
        <v>0.23499999999999999</v>
      </c>
      <c r="O87" s="1" t="s">
        <v>74</v>
      </c>
    </row>
    <row r="88" spans="1:15" x14ac:dyDescent="0.2">
      <c r="A88" s="1" t="s">
        <v>225</v>
      </c>
      <c r="B88" s="1" t="s">
        <v>226</v>
      </c>
      <c r="C88" s="1" t="s">
        <v>30</v>
      </c>
      <c r="D88" s="1" t="s">
        <v>31</v>
      </c>
      <c r="E88">
        <v>2015</v>
      </c>
      <c r="F88" s="1" t="s">
        <v>19</v>
      </c>
      <c r="G88">
        <v>1.4199999570846558</v>
      </c>
      <c r="H88">
        <v>80</v>
      </c>
      <c r="I88">
        <v>0.52999997138977051</v>
      </c>
      <c r="J88">
        <v>0.37000000476837158</v>
      </c>
      <c r="K88">
        <v>0.47999998927116394</v>
      </c>
      <c r="L88">
        <v>0.41999998688697815</v>
      </c>
      <c r="M88">
        <v>11</v>
      </c>
      <c r="N88">
        <v>0.11799999999999999</v>
      </c>
      <c r="O88" s="1" t="s">
        <v>74</v>
      </c>
    </row>
    <row r="89" spans="1:15" x14ac:dyDescent="0.2">
      <c r="A89" s="1" t="s">
        <v>227</v>
      </c>
      <c r="B89" s="1" t="s">
        <v>228</v>
      </c>
      <c r="C89" s="1" t="s">
        <v>27</v>
      </c>
      <c r="D89" s="1" t="s">
        <v>31</v>
      </c>
      <c r="E89">
        <v>2017</v>
      </c>
      <c r="F89" s="1" t="s">
        <v>19</v>
      </c>
      <c r="G89">
        <v>1.440000057220459</v>
      </c>
      <c r="H89">
        <v>107</v>
      </c>
      <c r="I89">
        <v>0.77999997138977051</v>
      </c>
      <c r="J89">
        <v>0.68000000715255737</v>
      </c>
      <c r="K89">
        <v>0.60000002384185791</v>
      </c>
      <c r="L89">
        <v>5.9999998658895493E-2</v>
      </c>
      <c r="M89">
        <v>9</v>
      </c>
      <c r="N89">
        <v>0.14399999999999999</v>
      </c>
      <c r="O89" s="1" t="s">
        <v>20</v>
      </c>
    </row>
    <row r="90" spans="1:15" x14ac:dyDescent="0.2">
      <c r="A90" s="1" t="s">
        <v>229</v>
      </c>
      <c r="B90" s="1" t="s">
        <v>195</v>
      </c>
      <c r="C90" s="1" t="s">
        <v>27</v>
      </c>
      <c r="D90" s="1" t="s">
        <v>31</v>
      </c>
      <c r="E90">
        <v>2023</v>
      </c>
      <c r="F90" s="1" t="s">
        <v>19</v>
      </c>
      <c r="G90">
        <v>1.6799999475479126</v>
      </c>
      <c r="H90">
        <v>80</v>
      </c>
      <c r="I90">
        <v>0.50999999046325684</v>
      </c>
      <c r="J90">
        <v>0.43999999761581421</v>
      </c>
      <c r="K90">
        <v>0.41999998688697815</v>
      </c>
      <c r="L90">
        <v>0.2800000011920929</v>
      </c>
      <c r="M90">
        <v>3</v>
      </c>
      <c r="N90">
        <v>0.42</v>
      </c>
      <c r="O90" s="1" t="s">
        <v>20</v>
      </c>
    </row>
    <row r="91" spans="1:15" x14ac:dyDescent="0.2">
      <c r="A91" s="1" t="s">
        <v>230</v>
      </c>
      <c r="B91" s="1" t="s">
        <v>231</v>
      </c>
      <c r="C91" s="1" t="s">
        <v>232</v>
      </c>
      <c r="D91" s="1" t="s">
        <v>31</v>
      </c>
      <c r="E91">
        <v>2021</v>
      </c>
      <c r="F91" s="1" t="s">
        <v>19</v>
      </c>
      <c r="G91">
        <v>2.2300000190734863</v>
      </c>
      <c r="H91">
        <v>115</v>
      </c>
      <c r="I91">
        <v>0.77999997138977051</v>
      </c>
      <c r="J91">
        <v>0.6600000262260437</v>
      </c>
      <c r="K91">
        <v>0.80000001192092896</v>
      </c>
      <c r="L91">
        <v>1.9999999552965164E-2</v>
      </c>
      <c r="M91">
        <v>5</v>
      </c>
      <c r="N91">
        <v>0.372</v>
      </c>
      <c r="O91" s="1" t="s">
        <v>20</v>
      </c>
    </row>
    <row r="92" spans="1:15" x14ac:dyDescent="0.2">
      <c r="A92" s="1" t="s">
        <v>233</v>
      </c>
      <c r="B92" s="1" t="s">
        <v>234</v>
      </c>
      <c r="C92" s="1" t="s">
        <v>109</v>
      </c>
      <c r="D92" s="1" t="s">
        <v>31</v>
      </c>
      <c r="E92">
        <v>2022</v>
      </c>
      <c r="F92" s="1" t="s">
        <v>19</v>
      </c>
      <c r="G92">
        <v>1.6000000238418579</v>
      </c>
      <c r="H92">
        <v>139</v>
      </c>
      <c r="I92">
        <v>0.51999998092651367</v>
      </c>
      <c r="J92">
        <v>0.63999998569488525</v>
      </c>
      <c r="K92">
        <v>0.43999999761581421</v>
      </c>
      <c r="L92">
        <v>0.10000000149011612</v>
      </c>
      <c r="M92">
        <v>4</v>
      </c>
      <c r="N92">
        <v>0.32</v>
      </c>
      <c r="O92" s="1" t="s">
        <v>20</v>
      </c>
    </row>
    <row r="93" spans="1:15" x14ac:dyDescent="0.2">
      <c r="A93" s="1" t="s">
        <v>235</v>
      </c>
      <c r="B93" s="1" t="s">
        <v>236</v>
      </c>
      <c r="C93" s="1" t="s">
        <v>56</v>
      </c>
      <c r="D93" s="1" t="s">
        <v>237</v>
      </c>
      <c r="E93">
        <v>2013</v>
      </c>
      <c r="F93" s="1" t="s">
        <v>19</v>
      </c>
      <c r="G93">
        <v>1.5399999618530273</v>
      </c>
      <c r="H93">
        <v>104</v>
      </c>
      <c r="I93">
        <v>0.37999999523162842</v>
      </c>
      <c r="J93">
        <v>0.43999999761581421</v>
      </c>
      <c r="K93">
        <v>0.2199999988079071</v>
      </c>
      <c r="L93">
        <v>0.30000001192092896</v>
      </c>
      <c r="M93">
        <v>13</v>
      </c>
      <c r="N93">
        <v>0.11</v>
      </c>
      <c r="O93" s="1" t="s">
        <v>20</v>
      </c>
    </row>
    <row r="94" spans="1:15" x14ac:dyDescent="0.2">
      <c r="A94" s="1" t="s">
        <v>238</v>
      </c>
      <c r="B94" s="1" t="s">
        <v>239</v>
      </c>
      <c r="C94" s="1" t="s">
        <v>87</v>
      </c>
      <c r="D94" s="1" t="s">
        <v>240</v>
      </c>
      <c r="E94">
        <v>1996</v>
      </c>
      <c r="F94" s="1" t="s">
        <v>19</v>
      </c>
      <c r="G94">
        <v>1.4600000381469727</v>
      </c>
      <c r="H94">
        <v>139</v>
      </c>
      <c r="I94">
        <v>0.74000000953674316</v>
      </c>
      <c r="J94">
        <v>0.75999999046325684</v>
      </c>
      <c r="K94">
        <v>0.86000001430511475</v>
      </c>
      <c r="L94">
        <v>0.37999999523162842</v>
      </c>
      <c r="M94">
        <v>30</v>
      </c>
      <c r="N94">
        <v>4.7E-2</v>
      </c>
      <c r="O94" s="1" t="s">
        <v>20</v>
      </c>
    </row>
    <row r="95" spans="1:15" x14ac:dyDescent="0.2">
      <c r="A95" s="1" t="s">
        <v>241</v>
      </c>
      <c r="B95" s="1" t="s">
        <v>242</v>
      </c>
      <c r="C95" s="1" t="s">
        <v>40</v>
      </c>
      <c r="D95" s="1" t="s">
        <v>24</v>
      </c>
      <c r="E95">
        <v>2001</v>
      </c>
      <c r="F95" s="1" t="s">
        <v>19</v>
      </c>
      <c r="G95">
        <v>1.6200000047683716</v>
      </c>
      <c r="H95">
        <v>154</v>
      </c>
      <c r="I95">
        <v>0.43999999761581421</v>
      </c>
      <c r="J95">
        <v>0.81999999284744263</v>
      </c>
      <c r="K95">
        <v>0.43999999761581421</v>
      </c>
      <c r="L95">
        <v>3.9999999105930328E-2</v>
      </c>
      <c r="M95">
        <v>25</v>
      </c>
      <c r="N95">
        <v>6.2E-2</v>
      </c>
      <c r="O95" s="1" t="s">
        <v>20</v>
      </c>
    </row>
    <row r="96" spans="1:15" x14ac:dyDescent="0.2">
      <c r="A96" s="1" t="s">
        <v>243</v>
      </c>
      <c r="B96" s="1" t="s">
        <v>244</v>
      </c>
      <c r="C96" s="1" t="s">
        <v>27</v>
      </c>
      <c r="D96" s="1" t="s">
        <v>224</v>
      </c>
      <c r="E96">
        <v>2023</v>
      </c>
      <c r="F96" s="1" t="s">
        <v>19</v>
      </c>
      <c r="G96">
        <v>1.5800000429153442</v>
      </c>
      <c r="H96">
        <v>90</v>
      </c>
      <c r="I96">
        <v>0.6600000262260437</v>
      </c>
      <c r="J96">
        <v>0.54000002145767212</v>
      </c>
      <c r="K96">
        <v>0.75999999046325684</v>
      </c>
      <c r="L96">
        <v>0.2199999988079071</v>
      </c>
      <c r="M96">
        <v>3</v>
      </c>
      <c r="N96">
        <v>0.39500000000000002</v>
      </c>
      <c r="O96" s="1" t="s">
        <v>20</v>
      </c>
    </row>
    <row r="97" spans="1:15" x14ac:dyDescent="0.2">
      <c r="A97" s="1" t="s">
        <v>245</v>
      </c>
      <c r="B97" s="1" t="s">
        <v>246</v>
      </c>
      <c r="C97" s="1" t="s">
        <v>48</v>
      </c>
      <c r="D97" s="1" t="s">
        <v>24</v>
      </c>
      <c r="E97">
        <v>2018</v>
      </c>
      <c r="F97" s="1" t="s">
        <v>19</v>
      </c>
      <c r="G97">
        <v>1.9199999570846558</v>
      </c>
      <c r="H97">
        <v>143</v>
      </c>
      <c r="I97">
        <v>0.75999999046325684</v>
      </c>
      <c r="J97">
        <v>0.87999999523162842</v>
      </c>
      <c r="K97">
        <v>0.72000002861022949</v>
      </c>
      <c r="L97">
        <v>0</v>
      </c>
      <c r="M97">
        <v>8</v>
      </c>
      <c r="N97">
        <v>0.21299999999999999</v>
      </c>
      <c r="O97" s="1" t="s">
        <v>20</v>
      </c>
    </row>
    <row r="98" spans="1:15" x14ac:dyDescent="0.2">
      <c r="A98" s="1" t="s">
        <v>247</v>
      </c>
      <c r="B98" s="1" t="s">
        <v>248</v>
      </c>
      <c r="C98" s="1" t="s">
        <v>17</v>
      </c>
      <c r="D98" s="1" t="s">
        <v>249</v>
      </c>
      <c r="E98">
        <v>2020</v>
      </c>
      <c r="F98" s="1" t="s">
        <v>19</v>
      </c>
      <c r="G98">
        <v>1.440000057220459</v>
      </c>
      <c r="H98">
        <v>171</v>
      </c>
      <c r="I98">
        <v>0.54000002145767212</v>
      </c>
      <c r="J98">
        <v>0.80000001192092896</v>
      </c>
      <c r="K98">
        <v>0.36000001430511475</v>
      </c>
      <c r="L98">
        <v>9.9999997764825821E-3</v>
      </c>
      <c r="M98">
        <v>6</v>
      </c>
      <c r="N98">
        <v>0.20599999999999999</v>
      </c>
      <c r="O98" s="1" t="s">
        <v>20</v>
      </c>
    </row>
    <row r="99" spans="1:15" x14ac:dyDescent="0.2">
      <c r="A99" s="1" t="s">
        <v>250</v>
      </c>
      <c r="B99" s="1" t="s">
        <v>251</v>
      </c>
      <c r="C99" s="1" t="s">
        <v>56</v>
      </c>
      <c r="D99" s="1" t="s">
        <v>31</v>
      </c>
      <c r="E99">
        <v>2018</v>
      </c>
      <c r="F99" s="1" t="s">
        <v>19</v>
      </c>
      <c r="G99">
        <v>1.559999942779541</v>
      </c>
      <c r="H99">
        <v>150</v>
      </c>
      <c r="I99">
        <v>0.63999998569488525</v>
      </c>
      <c r="J99">
        <v>0.41999998688697815</v>
      </c>
      <c r="K99">
        <v>0.72000002861022949</v>
      </c>
      <c r="L99">
        <v>0.37999999523162842</v>
      </c>
      <c r="M99">
        <v>8</v>
      </c>
      <c r="N99">
        <v>0.17299999999999999</v>
      </c>
      <c r="O99" s="1" t="s">
        <v>20</v>
      </c>
    </row>
    <row r="100" spans="1:15" x14ac:dyDescent="0.2">
      <c r="A100" s="1" t="s">
        <v>252</v>
      </c>
      <c r="B100" s="1" t="s">
        <v>253</v>
      </c>
      <c r="C100" s="1" t="s">
        <v>43</v>
      </c>
      <c r="D100" s="1" t="s">
        <v>18</v>
      </c>
      <c r="E100">
        <v>2020</v>
      </c>
      <c r="F100" s="1" t="s">
        <v>19</v>
      </c>
      <c r="G100">
        <v>3.0499999523162842</v>
      </c>
      <c r="H100">
        <v>142</v>
      </c>
      <c r="I100">
        <v>0.81999999284744263</v>
      </c>
      <c r="J100">
        <v>0.62000000476837158</v>
      </c>
      <c r="K100">
        <v>0.55000001192092896</v>
      </c>
      <c r="L100">
        <v>1.9999999552965164E-2</v>
      </c>
      <c r="M100">
        <v>6</v>
      </c>
      <c r="N100">
        <v>0.436</v>
      </c>
      <c r="O100" s="1" t="s">
        <v>20</v>
      </c>
    </row>
    <row r="101" spans="1:15" x14ac:dyDescent="0.2">
      <c r="A101" s="1" t="s">
        <v>254</v>
      </c>
      <c r="B101" s="1" t="s">
        <v>97</v>
      </c>
      <c r="C101" s="1" t="s">
        <v>27</v>
      </c>
      <c r="D101" s="1" t="s">
        <v>31</v>
      </c>
      <c r="E101">
        <v>2014</v>
      </c>
      <c r="F101" s="1" t="s">
        <v>19</v>
      </c>
      <c r="G101">
        <v>1.6000000238418579</v>
      </c>
      <c r="H101">
        <v>160</v>
      </c>
      <c r="I101">
        <v>0.64999997615814209</v>
      </c>
      <c r="J101">
        <v>0.80000001192092896</v>
      </c>
      <c r="K101">
        <v>0.93999999761581421</v>
      </c>
      <c r="L101">
        <v>5.9999998658895493E-2</v>
      </c>
      <c r="M101">
        <v>12</v>
      </c>
      <c r="N101">
        <v>0.123</v>
      </c>
      <c r="O101" s="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FB1A-F9E4-4A2F-A5E1-6A6DF11F8350}">
  <dimension ref="A1:L51"/>
  <sheetViews>
    <sheetView workbookViewId="0"/>
  </sheetViews>
  <sheetFormatPr defaultRowHeight="14.25" x14ac:dyDescent="0.2"/>
  <cols>
    <col min="1" max="1" width="15.875" bestFit="1" customWidth="1"/>
    <col min="2" max="2" width="15.75" bestFit="1" customWidth="1"/>
    <col min="3" max="3" width="12.75" bestFit="1" customWidth="1"/>
    <col min="4" max="4" width="9.25" bestFit="1" customWidth="1"/>
    <col min="5" max="5" width="28.625" bestFit="1" customWidth="1"/>
    <col min="6" max="6" width="18.625" bestFit="1" customWidth="1"/>
    <col min="7" max="7" width="18.875" bestFit="1" customWidth="1"/>
    <col min="8" max="8" width="14.625" bestFit="1" customWidth="1"/>
    <col min="9" max="9" width="12.75" bestFit="1" customWidth="1"/>
    <col min="10" max="10" width="13.375" bestFit="1" customWidth="1"/>
    <col min="11" max="11" width="16.125" bestFit="1" customWidth="1"/>
    <col min="12" max="12" width="18.5" bestFit="1" customWidth="1"/>
  </cols>
  <sheetData>
    <row r="1" spans="1:12" x14ac:dyDescent="0.2">
      <c r="A1" t="s">
        <v>255</v>
      </c>
      <c r="B1" t="s">
        <v>2</v>
      </c>
      <c r="C1" t="s">
        <v>256</v>
      </c>
      <c r="D1" t="s">
        <v>257</v>
      </c>
      <c r="E1" t="s">
        <v>258</v>
      </c>
      <c r="F1" t="s">
        <v>259</v>
      </c>
      <c r="G1" t="s">
        <v>260</v>
      </c>
      <c r="H1" t="s">
        <v>261</v>
      </c>
      <c r="I1" t="s">
        <v>262</v>
      </c>
      <c r="J1" t="s">
        <v>263</v>
      </c>
      <c r="K1" t="s">
        <v>264</v>
      </c>
      <c r="L1" t="s">
        <v>265</v>
      </c>
    </row>
    <row r="2" spans="1:12" x14ac:dyDescent="0.2">
      <c r="A2" s="1" t="s">
        <v>16</v>
      </c>
      <c r="B2" s="1" t="s">
        <v>152</v>
      </c>
      <c r="C2" s="1" t="s">
        <v>18</v>
      </c>
      <c r="D2" s="1" t="s">
        <v>266</v>
      </c>
      <c r="E2" s="1" t="s">
        <v>148</v>
      </c>
      <c r="F2">
        <v>110.40000152587891</v>
      </c>
      <c r="G2">
        <v>112</v>
      </c>
      <c r="H2">
        <v>4</v>
      </c>
      <c r="I2">
        <v>2010</v>
      </c>
      <c r="J2">
        <v>101.4492739601512</v>
      </c>
      <c r="K2" s="1" t="s">
        <v>267</v>
      </c>
      <c r="L2">
        <v>16</v>
      </c>
    </row>
    <row r="3" spans="1:12" x14ac:dyDescent="0.2">
      <c r="A3" s="1" t="s">
        <v>97</v>
      </c>
      <c r="B3" s="1" t="s">
        <v>77</v>
      </c>
      <c r="C3" s="1" t="s">
        <v>31</v>
      </c>
      <c r="D3" s="1" t="s">
        <v>268</v>
      </c>
      <c r="E3" s="1" t="s">
        <v>269</v>
      </c>
      <c r="F3">
        <v>107.5</v>
      </c>
      <c r="G3">
        <v>110</v>
      </c>
      <c r="H3">
        <v>14</v>
      </c>
      <c r="I3">
        <v>2006</v>
      </c>
      <c r="J3">
        <v>102.32558139534885</v>
      </c>
      <c r="K3" s="1" t="s">
        <v>267</v>
      </c>
      <c r="L3">
        <v>20</v>
      </c>
    </row>
    <row r="4" spans="1:12" x14ac:dyDescent="0.2">
      <c r="A4" s="1" t="s">
        <v>33</v>
      </c>
      <c r="B4" s="1" t="s">
        <v>43</v>
      </c>
      <c r="C4" s="1" t="s">
        <v>18</v>
      </c>
      <c r="D4" s="1" t="s">
        <v>266</v>
      </c>
      <c r="E4" s="1" t="s">
        <v>270</v>
      </c>
      <c r="F4">
        <v>88.599998474121094</v>
      </c>
      <c r="G4">
        <v>95</v>
      </c>
      <c r="H4">
        <v>4</v>
      </c>
      <c r="I4">
        <v>2006</v>
      </c>
      <c r="J4">
        <v>107.22347814458288</v>
      </c>
      <c r="K4" s="1" t="s">
        <v>267</v>
      </c>
      <c r="L4">
        <v>20</v>
      </c>
    </row>
    <row r="5" spans="1:12" x14ac:dyDescent="0.2">
      <c r="A5" s="1" t="s">
        <v>271</v>
      </c>
      <c r="B5" s="1" t="s">
        <v>113</v>
      </c>
      <c r="C5" s="1" t="s">
        <v>114</v>
      </c>
      <c r="D5" s="1" t="s">
        <v>266</v>
      </c>
      <c r="E5" s="1" t="s">
        <v>272</v>
      </c>
      <c r="F5">
        <v>84.199996948242188</v>
      </c>
      <c r="G5">
        <v>89</v>
      </c>
      <c r="H5">
        <v>0</v>
      </c>
      <c r="I5">
        <v>2016</v>
      </c>
      <c r="J5">
        <v>105.70071642010674</v>
      </c>
      <c r="K5" s="1" t="s">
        <v>273</v>
      </c>
      <c r="L5">
        <v>10</v>
      </c>
    </row>
    <row r="6" spans="1:12" x14ac:dyDescent="0.2">
      <c r="A6" s="1" t="s">
        <v>129</v>
      </c>
      <c r="B6" s="1" t="s">
        <v>27</v>
      </c>
      <c r="C6" s="1" t="s">
        <v>31</v>
      </c>
      <c r="D6" s="1" t="s">
        <v>268</v>
      </c>
      <c r="E6" s="1" t="s">
        <v>128</v>
      </c>
      <c r="F6">
        <v>82.099998474121094</v>
      </c>
      <c r="G6">
        <v>58</v>
      </c>
      <c r="H6">
        <v>0</v>
      </c>
      <c r="I6">
        <v>2015</v>
      </c>
      <c r="J6">
        <v>70.64555551518346</v>
      </c>
      <c r="K6" s="1" t="s">
        <v>273</v>
      </c>
      <c r="L6">
        <v>11</v>
      </c>
    </row>
    <row r="7" spans="1:12" x14ac:dyDescent="0.2">
      <c r="A7" s="1" t="s">
        <v>65</v>
      </c>
      <c r="B7" s="1" t="s">
        <v>56</v>
      </c>
      <c r="C7" s="1" t="s">
        <v>31</v>
      </c>
      <c r="D7" s="1" t="s">
        <v>268</v>
      </c>
      <c r="E7" s="1" t="s">
        <v>274</v>
      </c>
      <c r="F7">
        <v>78.5</v>
      </c>
      <c r="G7">
        <v>110</v>
      </c>
      <c r="H7">
        <v>9</v>
      </c>
      <c r="I7">
        <v>2015</v>
      </c>
      <c r="J7">
        <v>140.12738853503183</v>
      </c>
      <c r="K7" s="1" t="s">
        <v>267</v>
      </c>
      <c r="L7">
        <v>11</v>
      </c>
    </row>
    <row r="8" spans="1:12" x14ac:dyDescent="0.2">
      <c r="A8" s="1" t="s">
        <v>22</v>
      </c>
      <c r="B8" s="1" t="s">
        <v>58</v>
      </c>
      <c r="C8" s="1" t="s">
        <v>24</v>
      </c>
      <c r="D8" s="1" t="s">
        <v>266</v>
      </c>
      <c r="E8" s="1" t="s">
        <v>275</v>
      </c>
      <c r="F8">
        <v>76.300003051757813</v>
      </c>
      <c r="G8">
        <v>115</v>
      </c>
      <c r="H8">
        <v>4</v>
      </c>
      <c r="I8">
        <v>2011</v>
      </c>
      <c r="J8">
        <v>150.72083276587841</v>
      </c>
      <c r="K8" s="1" t="s">
        <v>267</v>
      </c>
      <c r="L8">
        <v>15</v>
      </c>
    </row>
    <row r="9" spans="1:12" x14ac:dyDescent="0.2">
      <c r="A9" s="1" t="s">
        <v>146</v>
      </c>
      <c r="B9" s="1" t="s">
        <v>232</v>
      </c>
      <c r="C9" s="1" t="s">
        <v>31</v>
      </c>
      <c r="D9" s="1" t="s">
        <v>268</v>
      </c>
      <c r="E9" s="1" t="s">
        <v>276</v>
      </c>
      <c r="F9">
        <v>72.800003051757813</v>
      </c>
      <c r="G9">
        <v>94</v>
      </c>
      <c r="H9">
        <v>2</v>
      </c>
      <c r="I9">
        <v>2013</v>
      </c>
      <c r="J9">
        <v>129.12087370816437</v>
      </c>
      <c r="K9" s="1" t="s">
        <v>267</v>
      </c>
      <c r="L9">
        <v>13</v>
      </c>
    </row>
    <row r="10" spans="1:12" x14ac:dyDescent="0.2">
      <c r="A10" s="1" t="s">
        <v>135</v>
      </c>
      <c r="B10" s="1" t="s">
        <v>43</v>
      </c>
      <c r="C10" s="1" t="s">
        <v>31</v>
      </c>
      <c r="D10" s="1" t="s">
        <v>266</v>
      </c>
      <c r="E10" s="1" t="s">
        <v>134</v>
      </c>
      <c r="F10">
        <v>71.5</v>
      </c>
      <c r="G10">
        <v>52</v>
      </c>
      <c r="H10">
        <v>17</v>
      </c>
      <c r="I10">
        <v>2003</v>
      </c>
      <c r="J10">
        <v>72.727272727272734</v>
      </c>
      <c r="K10" s="1" t="s">
        <v>267</v>
      </c>
      <c r="L10">
        <v>23</v>
      </c>
    </row>
    <row r="11" spans="1:12" x14ac:dyDescent="0.2">
      <c r="A11" s="1" t="s">
        <v>55</v>
      </c>
      <c r="B11" s="1" t="s">
        <v>27</v>
      </c>
      <c r="C11" s="1" t="s">
        <v>24</v>
      </c>
      <c r="D11" s="1" t="s">
        <v>266</v>
      </c>
      <c r="E11" s="1" t="s">
        <v>277</v>
      </c>
      <c r="F11">
        <v>70.199996948242188</v>
      </c>
      <c r="G11">
        <v>80</v>
      </c>
      <c r="H11">
        <v>0</v>
      </c>
      <c r="I11">
        <v>2010</v>
      </c>
      <c r="J11">
        <v>113.96011891422626</v>
      </c>
      <c r="K11" s="1" t="s">
        <v>273</v>
      </c>
      <c r="L11">
        <v>16</v>
      </c>
    </row>
    <row r="12" spans="1:12" x14ac:dyDescent="0.2">
      <c r="A12" s="1" t="s">
        <v>70</v>
      </c>
      <c r="B12" s="1" t="s">
        <v>30</v>
      </c>
      <c r="C12" s="1" t="s">
        <v>31</v>
      </c>
      <c r="D12" s="1" t="s">
        <v>266</v>
      </c>
      <c r="E12" s="1" t="s">
        <v>278</v>
      </c>
      <c r="F12">
        <v>68.699996948242188</v>
      </c>
      <c r="G12">
        <v>62</v>
      </c>
      <c r="H12">
        <v>0</v>
      </c>
      <c r="I12">
        <v>2015</v>
      </c>
      <c r="J12">
        <v>90.24745670179594</v>
      </c>
      <c r="K12" s="1" t="s">
        <v>273</v>
      </c>
      <c r="L12">
        <v>11</v>
      </c>
    </row>
    <row r="13" spans="1:12" x14ac:dyDescent="0.2">
      <c r="A13" s="1" t="s">
        <v>80</v>
      </c>
      <c r="B13" s="1" t="s">
        <v>279</v>
      </c>
      <c r="C13" s="1" t="s">
        <v>82</v>
      </c>
      <c r="D13" s="1" t="s">
        <v>280</v>
      </c>
      <c r="E13" s="1" t="s">
        <v>79</v>
      </c>
      <c r="F13">
        <v>66.400001525878906</v>
      </c>
      <c r="G13">
        <v>75</v>
      </c>
      <c r="H13">
        <v>0</v>
      </c>
      <c r="I13">
        <v>2013</v>
      </c>
      <c r="J13">
        <v>112.95180463327144</v>
      </c>
      <c r="K13" s="1" t="s">
        <v>273</v>
      </c>
      <c r="L13">
        <v>13</v>
      </c>
    </row>
    <row r="14" spans="1:12" x14ac:dyDescent="0.2">
      <c r="A14" s="1" t="s">
        <v>68</v>
      </c>
      <c r="B14" s="1" t="s">
        <v>281</v>
      </c>
      <c r="C14" s="1" t="s">
        <v>31</v>
      </c>
      <c r="D14" s="1" t="s">
        <v>268</v>
      </c>
      <c r="E14" s="1" t="s">
        <v>282</v>
      </c>
      <c r="F14">
        <v>64.800003051757813</v>
      </c>
      <c r="G14">
        <v>56</v>
      </c>
      <c r="H14">
        <v>5</v>
      </c>
      <c r="I14">
        <v>2021</v>
      </c>
      <c r="J14">
        <v>86.419749016479258</v>
      </c>
      <c r="K14" s="1" t="s">
        <v>267</v>
      </c>
      <c r="L14">
        <v>5</v>
      </c>
    </row>
    <row r="15" spans="1:12" x14ac:dyDescent="0.2">
      <c r="A15" s="1" t="s">
        <v>283</v>
      </c>
      <c r="B15" s="1" t="s">
        <v>113</v>
      </c>
      <c r="C15" s="1" t="s">
        <v>284</v>
      </c>
      <c r="D15" s="1" t="s">
        <v>268</v>
      </c>
      <c r="E15" s="1" t="s">
        <v>285</v>
      </c>
      <c r="F15">
        <v>63.5</v>
      </c>
      <c r="G15">
        <v>50</v>
      </c>
      <c r="H15">
        <v>1</v>
      </c>
      <c r="I15">
        <v>2017</v>
      </c>
      <c r="J15">
        <v>78.740157480314963</v>
      </c>
      <c r="K15" s="1" t="s">
        <v>267</v>
      </c>
      <c r="L15">
        <v>9</v>
      </c>
    </row>
    <row r="16" spans="1:12" x14ac:dyDescent="0.2">
      <c r="A16" s="1" t="s">
        <v>60</v>
      </c>
      <c r="B16" s="1" t="s">
        <v>286</v>
      </c>
      <c r="C16" s="1" t="s">
        <v>24</v>
      </c>
      <c r="D16" s="1" t="s">
        <v>268</v>
      </c>
      <c r="E16" s="1" t="s">
        <v>287</v>
      </c>
      <c r="F16">
        <v>62.099998474121094</v>
      </c>
      <c r="G16">
        <v>82</v>
      </c>
      <c r="H16">
        <v>2</v>
      </c>
      <c r="I16">
        <v>2017</v>
      </c>
      <c r="J16">
        <v>132.04509181134975</v>
      </c>
      <c r="K16" s="1" t="s">
        <v>267</v>
      </c>
      <c r="L16">
        <v>9</v>
      </c>
    </row>
    <row r="17" spans="1:12" x14ac:dyDescent="0.2">
      <c r="A17" s="1" t="s">
        <v>288</v>
      </c>
      <c r="B17" s="1" t="s">
        <v>27</v>
      </c>
      <c r="C17" s="1" t="s">
        <v>31</v>
      </c>
      <c r="D17" s="1" t="s">
        <v>268</v>
      </c>
      <c r="E17" s="1" t="s">
        <v>148</v>
      </c>
      <c r="F17">
        <v>60.799999237060547</v>
      </c>
      <c r="G17">
        <v>98</v>
      </c>
      <c r="H17">
        <v>13</v>
      </c>
      <c r="I17">
        <v>2008</v>
      </c>
      <c r="J17">
        <v>161.18421254891112</v>
      </c>
      <c r="K17" s="1" t="s">
        <v>267</v>
      </c>
      <c r="L17">
        <v>18</v>
      </c>
    </row>
    <row r="18" spans="1:12" x14ac:dyDescent="0.2">
      <c r="A18" s="1" t="s">
        <v>289</v>
      </c>
      <c r="B18" s="1" t="s">
        <v>232</v>
      </c>
      <c r="C18" s="1" t="s">
        <v>31</v>
      </c>
      <c r="D18" s="1" t="s">
        <v>266</v>
      </c>
      <c r="E18" s="1" t="s">
        <v>201</v>
      </c>
      <c r="F18">
        <v>59.400001525878906</v>
      </c>
      <c r="G18">
        <v>65</v>
      </c>
      <c r="H18">
        <v>15</v>
      </c>
      <c r="I18">
        <v>2010</v>
      </c>
      <c r="J18">
        <v>109.42760661661151</v>
      </c>
      <c r="K18" s="1" t="s">
        <v>267</v>
      </c>
      <c r="L18">
        <v>16</v>
      </c>
    </row>
    <row r="19" spans="1:12" x14ac:dyDescent="0.2">
      <c r="A19" s="1" t="s">
        <v>290</v>
      </c>
      <c r="B19" s="1" t="s">
        <v>17</v>
      </c>
      <c r="C19" s="1" t="s">
        <v>31</v>
      </c>
      <c r="D19" s="1" t="s">
        <v>268</v>
      </c>
      <c r="E19" s="1" t="s">
        <v>291</v>
      </c>
      <c r="F19">
        <v>58.200000762939453</v>
      </c>
      <c r="G19">
        <v>40</v>
      </c>
      <c r="H19">
        <v>1</v>
      </c>
      <c r="I19">
        <v>2017</v>
      </c>
      <c r="J19">
        <v>68.728521435812709</v>
      </c>
      <c r="K19" s="1" t="s">
        <v>267</v>
      </c>
      <c r="L19">
        <v>9</v>
      </c>
    </row>
    <row r="20" spans="1:12" x14ac:dyDescent="0.2">
      <c r="A20" s="1" t="s">
        <v>292</v>
      </c>
      <c r="B20" s="1" t="s">
        <v>100</v>
      </c>
      <c r="C20" s="1" t="s">
        <v>31</v>
      </c>
      <c r="D20" s="1" t="s">
        <v>268</v>
      </c>
      <c r="E20" s="1" t="s">
        <v>293</v>
      </c>
      <c r="F20">
        <v>57.799999237060547</v>
      </c>
      <c r="G20">
        <v>48</v>
      </c>
      <c r="H20">
        <v>4</v>
      </c>
      <c r="I20">
        <v>2012</v>
      </c>
      <c r="J20">
        <v>83.0449837951262</v>
      </c>
      <c r="K20" s="1" t="s">
        <v>267</v>
      </c>
      <c r="L20">
        <v>14</v>
      </c>
    </row>
    <row r="21" spans="1:12" x14ac:dyDescent="0.2">
      <c r="A21" s="1" t="s">
        <v>294</v>
      </c>
      <c r="B21" s="1" t="s">
        <v>295</v>
      </c>
      <c r="C21" s="1" t="s">
        <v>31</v>
      </c>
      <c r="D21" s="1" t="s">
        <v>266</v>
      </c>
      <c r="E21" s="1" t="s">
        <v>278</v>
      </c>
      <c r="F21">
        <v>56.299999237060547</v>
      </c>
      <c r="G21">
        <v>44</v>
      </c>
      <c r="H21">
        <v>0</v>
      </c>
      <c r="I21">
        <v>2018</v>
      </c>
      <c r="J21">
        <v>78.152754167421307</v>
      </c>
      <c r="K21" s="1" t="s">
        <v>273</v>
      </c>
      <c r="L21">
        <v>8</v>
      </c>
    </row>
    <row r="22" spans="1:12" x14ac:dyDescent="0.2">
      <c r="A22" s="1" t="s">
        <v>39</v>
      </c>
      <c r="B22" s="1" t="s">
        <v>40</v>
      </c>
      <c r="C22" s="1" t="s">
        <v>31</v>
      </c>
      <c r="D22" s="1" t="s">
        <v>280</v>
      </c>
      <c r="E22" s="1" t="s">
        <v>296</v>
      </c>
      <c r="F22">
        <v>55.099998474121094</v>
      </c>
      <c r="G22">
        <v>68</v>
      </c>
      <c r="H22">
        <v>1</v>
      </c>
      <c r="I22">
        <v>2009</v>
      </c>
      <c r="J22">
        <v>123.41198163905153</v>
      </c>
      <c r="K22" s="1" t="s">
        <v>267</v>
      </c>
      <c r="L22">
        <v>17</v>
      </c>
    </row>
    <row r="23" spans="1:12" x14ac:dyDescent="0.2">
      <c r="A23" s="1" t="s">
        <v>122</v>
      </c>
      <c r="B23" s="1" t="s">
        <v>43</v>
      </c>
      <c r="C23" s="1" t="s">
        <v>31</v>
      </c>
      <c r="D23" s="1" t="s">
        <v>266</v>
      </c>
      <c r="E23" s="1" t="s">
        <v>297</v>
      </c>
      <c r="F23">
        <v>54.799999237060547</v>
      </c>
      <c r="G23">
        <v>72</v>
      </c>
      <c r="H23">
        <v>15</v>
      </c>
      <c r="I23">
        <v>1996</v>
      </c>
      <c r="J23">
        <v>131.38686314306972</v>
      </c>
      <c r="K23" s="1" t="s">
        <v>267</v>
      </c>
      <c r="L23">
        <v>30</v>
      </c>
    </row>
    <row r="24" spans="1:12" x14ac:dyDescent="0.2">
      <c r="A24" s="1" t="s">
        <v>84</v>
      </c>
      <c r="B24" s="1" t="s">
        <v>27</v>
      </c>
      <c r="C24" s="1" t="s">
        <v>31</v>
      </c>
      <c r="D24" s="1" t="s">
        <v>268</v>
      </c>
      <c r="E24" s="1" t="s">
        <v>83</v>
      </c>
      <c r="F24">
        <v>53.400001525878906</v>
      </c>
      <c r="G24">
        <v>60</v>
      </c>
      <c r="H24">
        <v>2</v>
      </c>
      <c r="I24">
        <v>2006</v>
      </c>
      <c r="J24">
        <v>112.35954735117859</v>
      </c>
      <c r="K24" s="1" t="s">
        <v>267</v>
      </c>
      <c r="L24">
        <v>20</v>
      </c>
    </row>
    <row r="25" spans="1:12" x14ac:dyDescent="0.2">
      <c r="A25" s="1" t="s">
        <v>298</v>
      </c>
      <c r="B25" s="1" t="s">
        <v>299</v>
      </c>
      <c r="C25" s="1" t="s">
        <v>31</v>
      </c>
      <c r="D25" s="1" t="s">
        <v>268</v>
      </c>
      <c r="E25" s="1" t="s">
        <v>300</v>
      </c>
      <c r="F25">
        <v>52.700000762939453</v>
      </c>
      <c r="G25">
        <v>44</v>
      </c>
      <c r="H25">
        <v>3</v>
      </c>
      <c r="I25">
        <v>2018</v>
      </c>
      <c r="J25">
        <v>83.491459891860927</v>
      </c>
      <c r="K25" s="1" t="s">
        <v>267</v>
      </c>
      <c r="L25">
        <v>8</v>
      </c>
    </row>
    <row r="26" spans="1:12" x14ac:dyDescent="0.2">
      <c r="A26" s="1" t="s">
        <v>301</v>
      </c>
      <c r="B26" s="1" t="s">
        <v>203</v>
      </c>
      <c r="C26" s="1" t="s">
        <v>82</v>
      </c>
      <c r="D26" s="1" t="s">
        <v>268</v>
      </c>
      <c r="E26" s="1" t="s">
        <v>201</v>
      </c>
      <c r="F26">
        <v>51.799999237060547</v>
      </c>
      <c r="G26">
        <v>38</v>
      </c>
      <c r="H26">
        <v>0</v>
      </c>
      <c r="I26">
        <v>2016</v>
      </c>
      <c r="J26">
        <v>73.359074439546959</v>
      </c>
      <c r="K26" s="1" t="s">
        <v>273</v>
      </c>
      <c r="L26">
        <v>10</v>
      </c>
    </row>
    <row r="27" spans="1:12" x14ac:dyDescent="0.2">
      <c r="A27" s="1" t="s">
        <v>302</v>
      </c>
      <c r="B27" s="1" t="s">
        <v>303</v>
      </c>
      <c r="C27" s="1" t="s">
        <v>31</v>
      </c>
      <c r="D27" s="1" t="s">
        <v>268</v>
      </c>
      <c r="E27" s="1" t="s">
        <v>304</v>
      </c>
      <c r="F27">
        <v>50.900001525878906</v>
      </c>
      <c r="G27">
        <v>85</v>
      </c>
      <c r="H27">
        <v>32</v>
      </c>
      <c r="I27">
        <v>2003</v>
      </c>
      <c r="J27">
        <v>166.99410108422836</v>
      </c>
      <c r="K27" s="1" t="s">
        <v>267</v>
      </c>
      <c r="L27">
        <v>23</v>
      </c>
    </row>
    <row r="28" spans="1:12" x14ac:dyDescent="0.2">
      <c r="A28" s="1" t="s">
        <v>305</v>
      </c>
      <c r="B28" s="1" t="s">
        <v>306</v>
      </c>
      <c r="C28" s="1" t="s">
        <v>307</v>
      </c>
      <c r="D28" s="1" t="s">
        <v>268</v>
      </c>
      <c r="E28" s="1" t="s">
        <v>308</v>
      </c>
      <c r="F28">
        <v>49.700000762939453</v>
      </c>
      <c r="G28">
        <v>30</v>
      </c>
      <c r="H28">
        <v>1</v>
      </c>
      <c r="I28">
        <v>2023</v>
      </c>
      <c r="J28">
        <v>60.36217211161604</v>
      </c>
      <c r="K28" s="1" t="s">
        <v>267</v>
      </c>
      <c r="L28">
        <v>3</v>
      </c>
    </row>
    <row r="29" spans="1:12" x14ac:dyDescent="0.2">
      <c r="A29" s="1" t="s">
        <v>309</v>
      </c>
      <c r="B29" s="1" t="s">
        <v>310</v>
      </c>
      <c r="C29" s="1" t="s">
        <v>31</v>
      </c>
      <c r="D29" s="1" t="s">
        <v>266</v>
      </c>
      <c r="E29" s="1" t="s">
        <v>311</v>
      </c>
      <c r="F29">
        <v>48.5</v>
      </c>
      <c r="G29">
        <v>28</v>
      </c>
      <c r="H29">
        <v>0</v>
      </c>
      <c r="I29">
        <v>2022</v>
      </c>
      <c r="J29">
        <v>57.731958762886592</v>
      </c>
      <c r="K29" s="1" t="s">
        <v>273</v>
      </c>
      <c r="L29">
        <v>4</v>
      </c>
    </row>
    <row r="30" spans="1:12" x14ac:dyDescent="0.2">
      <c r="A30" s="1" t="s">
        <v>312</v>
      </c>
      <c r="B30" s="1" t="s">
        <v>40</v>
      </c>
      <c r="C30" s="1" t="s">
        <v>24</v>
      </c>
      <c r="D30" s="1" t="s">
        <v>280</v>
      </c>
      <c r="E30" s="1" t="s">
        <v>313</v>
      </c>
      <c r="F30">
        <v>47.799999237060547</v>
      </c>
      <c r="G30">
        <v>65</v>
      </c>
      <c r="H30">
        <v>7</v>
      </c>
      <c r="I30">
        <v>1997</v>
      </c>
      <c r="J30">
        <v>135.98326576876565</v>
      </c>
      <c r="K30" s="1" t="s">
        <v>267</v>
      </c>
      <c r="L30">
        <v>29</v>
      </c>
    </row>
    <row r="31" spans="1:12" x14ac:dyDescent="0.2">
      <c r="A31" s="1" t="s">
        <v>151</v>
      </c>
      <c r="B31" s="1" t="s">
        <v>27</v>
      </c>
      <c r="C31" s="1" t="s">
        <v>18</v>
      </c>
      <c r="D31" s="1" t="s">
        <v>266</v>
      </c>
      <c r="E31" s="1" t="s">
        <v>150</v>
      </c>
      <c r="F31">
        <v>46.5</v>
      </c>
      <c r="G31">
        <v>96</v>
      </c>
      <c r="H31">
        <v>2</v>
      </c>
      <c r="I31">
        <v>2009</v>
      </c>
      <c r="J31">
        <v>206.45161290322579</v>
      </c>
      <c r="K31" s="1" t="s">
        <v>267</v>
      </c>
      <c r="L31">
        <v>17</v>
      </c>
    </row>
    <row r="32" spans="1:12" x14ac:dyDescent="0.2">
      <c r="A32" s="1" t="s">
        <v>314</v>
      </c>
      <c r="B32" s="1" t="s">
        <v>315</v>
      </c>
      <c r="C32" s="1" t="s">
        <v>316</v>
      </c>
      <c r="D32" s="1" t="s">
        <v>266</v>
      </c>
      <c r="E32" s="1" t="s">
        <v>317</v>
      </c>
      <c r="F32">
        <v>45.799999237060547</v>
      </c>
      <c r="G32">
        <v>30</v>
      </c>
      <c r="H32">
        <v>0</v>
      </c>
      <c r="I32">
        <v>2020</v>
      </c>
      <c r="J32">
        <v>65.502184497253296</v>
      </c>
      <c r="K32" s="1" t="s">
        <v>273</v>
      </c>
      <c r="L32">
        <v>6</v>
      </c>
    </row>
    <row r="33" spans="1:12" x14ac:dyDescent="0.2">
      <c r="A33" s="1" t="s">
        <v>318</v>
      </c>
      <c r="B33" s="1" t="s">
        <v>56</v>
      </c>
      <c r="C33" s="1" t="s">
        <v>31</v>
      </c>
      <c r="D33" s="1" t="s">
        <v>268</v>
      </c>
      <c r="E33" s="1" t="s">
        <v>319</v>
      </c>
      <c r="F33">
        <v>44.599998474121094</v>
      </c>
      <c r="G33">
        <v>48</v>
      </c>
      <c r="H33">
        <v>0</v>
      </c>
      <c r="I33">
        <v>2010</v>
      </c>
      <c r="J33">
        <v>107.62332206771651</v>
      </c>
      <c r="K33" s="1" t="s">
        <v>273</v>
      </c>
      <c r="L33">
        <v>16</v>
      </c>
    </row>
    <row r="34" spans="1:12" x14ac:dyDescent="0.2">
      <c r="A34" s="1" t="s">
        <v>320</v>
      </c>
      <c r="B34" s="1" t="s">
        <v>56</v>
      </c>
      <c r="C34" s="1" t="s">
        <v>31</v>
      </c>
      <c r="D34" s="1" t="s">
        <v>268</v>
      </c>
      <c r="E34" s="1" t="s">
        <v>321</v>
      </c>
      <c r="F34">
        <v>43.700000762939453</v>
      </c>
      <c r="G34">
        <v>25</v>
      </c>
      <c r="H34">
        <v>0</v>
      </c>
      <c r="I34">
        <v>2020</v>
      </c>
      <c r="J34">
        <v>57.208236987496086</v>
      </c>
      <c r="K34" s="1" t="s">
        <v>273</v>
      </c>
      <c r="L34">
        <v>6</v>
      </c>
    </row>
    <row r="35" spans="1:12" x14ac:dyDescent="0.2">
      <c r="A35" s="1" t="s">
        <v>322</v>
      </c>
      <c r="B35" s="1" t="s">
        <v>27</v>
      </c>
      <c r="C35" s="1" t="s">
        <v>18</v>
      </c>
      <c r="D35" s="1" t="s">
        <v>268</v>
      </c>
      <c r="E35" s="1" t="s">
        <v>323</v>
      </c>
      <c r="F35">
        <v>42.900001525878906</v>
      </c>
      <c r="G35">
        <v>28</v>
      </c>
      <c r="H35">
        <v>0</v>
      </c>
      <c r="I35">
        <v>2020</v>
      </c>
      <c r="J35">
        <v>65.268062946592991</v>
      </c>
      <c r="K35" s="1" t="s">
        <v>273</v>
      </c>
      <c r="L35">
        <v>6</v>
      </c>
    </row>
    <row r="36" spans="1:12" x14ac:dyDescent="0.2">
      <c r="A36" s="1" t="s">
        <v>217</v>
      </c>
      <c r="B36" s="1" t="s">
        <v>163</v>
      </c>
      <c r="C36" s="1" t="s">
        <v>218</v>
      </c>
      <c r="D36" s="1" t="s">
        <v>266</v>
      </c>
      <c r="E36" s="1" t="s">
        <v>216</v>
      </c>
      <c r="F36">
        <v>42.099998474121094</v>
      </c>
      <c r="G36">
        <v>30</v>
      </c>
      <c r="H36">
        <v>0</v>
      </c>
      <c r="I36">
        <v>2014</v>
      </c>
      <c r="J36">
        <v>71.258909946139369</v>
      </c>
      <c r="K36" s="1" t="s">
        <v>273</v>
      </c>
      <c r="L36">
        <v>12</v>
      </c>
    </row>
    <row r="37" spans="1:12" x14ac:dyDescent="0.2">
      <c r="A37" s="1" t="s">
        <v>195</v>
      </c>
      <c r="B37" s="1" t="s">
        <v>87</v>
      </c>
      <c r="C37" s="1" t="s">
        <v>31</v>
      </c>
      <c r="D37" s="1" t="s">
        <v>266</v>
      </c>
      <c r="E37" s="1" t="s">
        <v>194</v>
      </c>
      <c r="F37">
        <v>41.400001525878906</v>
      </c>
      <c r="G37">
        <v>22</v>
      </c>
      <c r="H37">
        <v>0</v>
      </c>
      <c r="I37">
        <v>2022</v>
      </c>
      <c r="J37">
        <v>53.140094659774164</v>
      </c>
      <c r="K37" s="1" t="s">
        <v>273</v>
      </c>
      <c r="L37">
        <v>4</v>
      </c>
    </row>
    <row r="38" spans="1:12" x14ac:dyDescent="0.2">
      <c r="A38" s="1" t="s">
        <v>214</v>
      </c>
      <c r="B38" s="1" t="s">
        <v>215</v>
      </c>
      <c r="C38" s="1" t="s">
        <v>31</v>
      </c>
      <c r="D38" s="1" t="s">
        <v>266</v>
      </c>
      <c r="E38" s="1" t="s">
        <v>213</v>
      </c>
      <c r="F38">
        <v>40.799999237060547</v>
      </c>
      <c r="G38">
        <v>18</v>
      </c>
      <c r="H38">
        <v>0</v>
      </c>
      <c r="I38">
        <v>2020</v>
      </c>
      <c r="J38">
        <v>44.117647883801325</v>
      </c>
      <c r="K38" s="1" t="s">
        <v>273</v>
      </c>
      <c r="L38">
        <v>6</v>
      </c>
    </row>
    <row r="39" spans="1:12" x14ac:dyDescent="0.2">
      <c r="A39" s="1" t="s">
        <v>324</v>
      </c>
      <c r="B39" s="1" t="s">
        <v>163</v>
      </c>
      <c r="C39" s="1" t="s">
        <v>31</v>
      </c>
      <c r="D39" s="1" t="s">
        <v>266</v>
      </c>
      <c r="E39" s="1" t="s">
        <v>325</v>
      </c>
      <c r="F39">
        <v>39.900001525878906</v>
      </c>
      <c r="G39">
        <v>20</v>
      </c>
      <c r="H39">
        <v>0</v>
      </c>
      <c r="I39">
        <v>2019</v>
      </c>
      <c r="J39">
        <v>50.125311366286837</v>
      </c>
      <c r="K39" s="1" t="s">
        <v>273</v>
      </c>
      <c r="L39">
        <v>7</v>
      </c>
    </row>
    <row r="40" spans="1:12" x14ac:dyDescent="0.2">
      <c r="A40" s="1" t="s">
        <v>234</v>
      </c>
      <c r="B40" s="1" t="s">
        <v>109</v>
      </c>
      <c r="C40" s="1" t="s">
        <v>31</v>
      </c>
      <c r="D40" s="1" t="s">
        <v>266</v>
      </c>
      <c r="E40" s="1" t="s">
        <v>233</v>
      </c>
      <c r="F40">
        <v>38.700000762939453</v>
      </c>
      <c r="G40">
        <v>15</v>
      </c>
      <c r="H40">
        <v>0</v>
      </c>
      <c r="I40">
        <v>2019</v>
      </c>
      <c r="J40">
        <v>38.759689158364438</v>
      </c>
      <c r="K40" s="1" t="s">
        <v>273</v>
      </c>
      <c r="L40">
        <v>7</v>
      </c>
    </row>
    <row r="41" spans="1:12" x14ac:dyDescent="0.2">
      <c r="A41" s="1" t="s">
        <v>326</v>
      </c>
      <c r="B41" s="1" t="s">
        <v>203</v>
      </c>
      <c r="C41" s="1" t="s">
        <v>82</v>
      </c>
      <c r="D41" s="1" t="s">
        <v>266</v>
      </c>
      <c r="E41" s="1" t="s">
        <v>327</v>
      </c>
      <c r="F41">
        <v>37.799999237060547</v>
      </c>
      <c r="G41">
        <v>22</v>
      </c>
      <c r="H41">
        <v>0</v>
      </c>
      <c r="I41">
        <v>2013</v>
      </c>
      <c r="J41">
        <v>58.201059375764139</v>
      </c>
      <c r="K41" s="1" t="s">
        <v>273</v>
      </c>
      <c r="L41">
        <v>13</v>
      </c>
    </row>
    <row r="42" spans="1:12" x14ac:dyDescent="0.2">
      <c r="A42" s="1" t="s">
        <v>328</v>
      </c>
      <c r="B42" s="1" t="s">
        <v>329</v>
      </c>
      <c r="C42" s="1" t="s">
        <v>167</v>
      </c>
      <c r="D42" s="1" t="s">
        <v>268</v>
      </c>
      <c r="E42" s="1" t="s">
        <v>330</v>
      </c>
      <c r="F42">
        <v>36.900001525878906</v>
      </c>
      <c r="G42">
        <v>18</v>
      </c>
      <c r="H42">
        <v>1</v>
      </c>
      <c r="I42">
        <v>2020</v>
      </c>
      <c r="J42">
        <v>48.78048578772048</v>
      </c>
      <c r="K42" s="1" t="s">
        <v>267</v>
      </c>
      <c r="L42">
        <v>6</v>
      </c>
    </row>
    <row r="43" spans="1:12" x14ac:dyDescent="0.2">
      <c r="A43" s="1" t="s">
        <v>331</v>
      </c>
      <c r="B43" s="1" t="s">
        <v>43</v>
      </c>
      <c r="C43" s="1" t="s">
        <v>31</v>
      </c>
      <c r="D43" s="1" t="s">
        <v>266</v>
      </c>
      <c r="E43" s="1" t="s">
        <v>332</v>
      </c>
      <c r="F43">
        <v>35.799999237060547</v>
      </c>
      <c r="G43">
        <v>24</v>
      </c>
      <c r="H43">
        <v>0</v>
      </c>
      <c r="I43">
        <v>2018</v>
      </c>
      <c r="J43">
        <v>67.039107573932398</v>
      </c>
      <c r="K43" s="1" t="s">
        <v>273</v>
      </c>
      <c r="L43">
        <v>8</v>
      </c>
    </row>
    <row r="44" spans="1:12" x14ac:dyDescent="0.2">
      <c r="A44" s="1" t="s">
        <v>333</v>
      </c>
      <c r="B44" s="1" t="s">
        <v>306</v>
      </c>
      <c r="C44" s="1" t="s">
        <v>334</v>
      </c>
      <c r="D44" s="1" t="s">
        <v>266</v>
      </c>
      <c r="E44" s="1" t="s">
        <v>93</v>
      </c>
      <c r="F44">
        <v>34.700000762939453</v>
      </c>
      <c r="G44">
        <v>20</v>
      </c>
      <c r="H44">
        <v>0</v>
      </c>
      <c r="I44">
        <v>2019</v>
      </c>
      <c r="J44">
        <v>57.636886340822635</v>
      </c>
      <c r="K44" s="1" t="s">
        <v>273</v>
      </c>
      <c r="L44">
        <v>7</v>
      </c>
    </row>
    <row r="45" spans="1:12" x14ac:dyDescent="0.2">
      <c r="A45" s="1" t="s">
        <v>335</v>
      </c>
      <c r="B45" s="1" t="s">
        <v>279</v>
      </c>
      <c r="C45" s="1" t="s">
        <v>82</v>
      </c>
      <c r="D45" s="1" t="s">
        <v>280</v>
      </c>
      <c r="E45" s="1" t="s">
        <v>336</v>
      </c>
      <c r="F45">
        <v>33.799999237060547</v>
      </c>
      <c r="G45">
        <v>18</v>
      </c>
      <c r="H45">
        <v>0</v>
      </c>
      <c r="I45">
        <v>2022</v>
      </c>
      <c r="J45">
        <v>53.2544390718909</v>
      </c>
      <c r="K45" s="1" t="s">
        <v>273</v>
      </c>
      <c r="L45">
        <v>4</v>
      </c>
    </row>
    <row r="46" spans="1:12" x14ac:dyDescent="0.2">
      <c r="A46" s="1" t="s">
        <v>337</v>
      </c>
      <c r="B46" s="1" t="s">
        <v>338</v>
      </c>
      <c r="C46" s="1" t="s">
        <v>339</v>
      </c>
      <c r="D46" s="1" t="s">
        <v>268</v>
      </c>
      <c r="E46" s="1" t="s">
        <v>340</v>
      </c>
      <c r="F46">
        <v>32.900001525878906</v>
      </c>
      <c r="G46">
        <v>15</v>
      </c>
      <c r="H46">
        <v>0</v>
      </c>
      <c r="I46">
        <v>2012</v>
      </c>
      <c r="J46">
        <v>45.59270305261569</v>
      </c>
      <c r="K46" s="1" t="s">
        <v>273</v>
      </c>
      <c r="L46">
        <v>14</v>
      </c>
    </row>
    <row r="47" spans="1:12" x14ac:dyDescent="0.2">
      <c r="A47" s="1" t="s">
        <v>341</v>
      </c>
      <c r="B47" s="1" t="s">
        <v>152</v>
      </c>
      <c r="C47" s="1" t="s">
        <v>31</v>
      </c>
      <c r="D47" s="1" t="s">
        <v>266</v>
      </c>
      <c r="E47" s="1" t="s">
        <v>342</v>
      </c>
      <c r="F47">
        <v>31.799999237060547</v>
      </c>
      <c r="G47">
        <v>12</v>
      </c>
      <c r="H47">
        <v>0</v>
      </c>
      <c r="I47">
        <v>2022</v>
      </c>
      <c r="J47">
        <v>37.73584996195499</v>
      </c>
      <c r="K47" s="1" t="s">
        <v>273</v>
      </c>
      <c r="L47">
        <v>4</v>
      </c>
    </row>
    <row r="48" spans="1:12" x14ac:dyDescent="0.2">
      <c r="A48" s="1" t="s">
        <v>343</v>
      </c>
      <c r="B48" s="1" t="s">
        <v>52</v>
      </c>
      <c r="C48" s="1" t="s">
        <v>114</v>
      </c>
      <c r="D48" s="1" t="s">
        <v>266</v>
      </c>
      <c r="E48" s="1" t="s">
        <v>344</v>
      </c>
      <c r="F48">
        <v>29.799999237060547</v>
      </c>
      <c r="G48">
        <v>12</v>
      </c>
      <c r="H48">
        <v>0</v>
      </c>
      <c r="I48">
        <v>1984</v>
      </c>
      <c r="J48">
        <v>40.268457406791775</v>
      </c>
      <c r="K48" s="1" t="s">
        <v>273</v>
      </c>
      <c r="L48">
        <v>42</v>
      </c>
    </row>
    <row r="49" spans="1:12" x14ac:dyDescent="0.2">
      <c r="A49" s="1" t="s">
        <v>345</v>
      </c>
      <c r="B49" s="1" t="s">
        <v>346</v>
      </c>
      <c r="C49" s="1" t="s">
        <v>31</v>
      </c>
      <c r="D49" s="1" t="s">
        <v>266</v>
      </c>
      <c r="E49" s="1" t="s">
        <v>347</v>
      </c>
      <c r="F49">
        <v>28.700000762939453</v>
      </c>
      <c r="G49">
        <v>22</v>
      </c>
      <c r="H49">
        <v>0</v>
      </c>
      <c r="I49">
        <v>2020</v>
      </c>
      <c r="J49">
        <v>76.65505022706752</v>
      </c>
      <c r="K49" s="1" t="s">
        <v>273</v>
      </c>
      <c r="L49">
        <v>6</v>
      </c>
    </row>
    <row r="50" spans="1:12" x14ac:dyDescent="0.2">
      <c r="A50" s="1" t="s">
        <v>328</v>
      </c>
      <c r="B50" s="1" t="s">
        <v>329</v>
      </c>
      <c r="C50" s="1" t="s">
        <v>167</v>
      </c>
      <c r="D50" s="1" t="s">
        <v>268</v>
      </c>
      <c r="E50" s="1" t="s">
        <v>348</v>
      </c>
      <c r="F50">
        <v>27.899999618530273</v>
      </c>
      <c r="G50">
        <v>18</v>
      </c>
      <c r="H50">
        <v>1</v>
      </c>
      <c r="I50">
        <v>2020</v>
      </c>
      <c r="J50">
        <v>64.516129914370978</v>
      </c>
      <c r="K50" s="1" t="s">
        <v>267</v>
      </c>
      <c r="L50">
        <v>6</v>
      </c>
    </row>
    <row r="51" spans="1:12" x14ac:dyDescent="0.2">
      <c r="A51" s="1" t="s">
        <v>349</v>
      </c>
      <c r="B51" s="1" t="s">
        <v>43</v>
      </c>
      <c r="C51" s="1" t="s">
        <v>31</v>
      </c>
      <c r="D51" s="1" t="s">
        <v>268</v>
      </c>
      <c r="E51" s="1" t="s">
        <v>350</v>
      </c>
      <c r="F51">
        <v>27.600000381469727</v>
      </c>
      <c r="G51">
        <v>14</v>
      </c>
      <c r="H51">
        <v>0</v>
      </c>
      <c r="I51">
        <v>2021</v>
      </c>
      <c r="J51">
        <v>50.724636980075601</v>
      </c>
      <c r="K51" s="1" t="s">
        <v>273</v>
      </c>
      <c r="L5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2A57-22DC-45CE-A510-ACB03C5217ED}">
  <dimension ref="A1:N51"/>
  <sheetViews>
    <sheetView topLeftCell="A2" workbookViewId="0">
      <selection activeCell="B19" sqref="A2:N51"/>
    </sheetView>
  </sheetViews>
  <sheetFormatPr defaultRowHeight="14.25" x14ac:dyDescent="0.2"/>
  <cols>
    <col min="1" max="1" width="26.875" bestFit="1" customWidth="1"/>
    <col min="2" max="2" width="26" bestFit="1" customWidth="1"/>
    <col min="3" max="3" width="15.75" bestFit="1" customWidth="1"/>
    <col min="4" max="4" width="15.125" bestFit="1" customWidth="1"/>
    <col min="5" max="5" width="9.25" bestFit="1" customWidth="1"/>
    <col min="6" max="6" width="22.5" bestFit="1" customWidth="1"/>
    <col min="7" max="7" width="6.625" bestFit="1" customWidth="1"/>
    <col min="8" max="8" width="18.875" bestFit="1" customWidth="1"/>
    <col min="9" max="9" width="27.625" bestFit="1" customWidth="1"/>
    <col min="10" max="10" width="13.375" bestFit="1" customWidth="1"/>
    <col min="11" max="11" width="11.875" bestFit="1" customWidth="1"/>
    <col min="12" max="12" width="18.375" bestFit="1" customWidth="1"/>
    <col min="13" max="13" width="25.375" bestFit="1" customWidth="1"/>
    <col min="14" max="14" width="20.5" bestFit="1" customWidth="1"/>
  </cols>
  <sheetData>
    <row r="1" spans="1:14" x14ac:dyDescent="0.2">
      <c r="A1" t="s">
        <v>0</v>
      </c>
      <c r="B1" t="s">
        <v>1</v>
      </c>
      <c r="C1" t="s">
        <v>2</v>
      </c>
      <c r="D1" t="s">
        <v>3</v>
      </c>
      <c r="E1" t="s">
        <v>351</v>
      </c>
      <c r="F1" t="s">
        <v>352</v>
      </c>
      <c r="G1" t="s">
        <v>7</v>
      </c>
      <c r="H1" t="s">
        <v>353</v>
      </c>
      <c r="I1" t="s">
        <v>354</v>
      </c>
      <c r="J1" t="s">
        <v>8</v>
      </c>
      <c r="K1" t="s">
        <v>9</v>
      </c>
      <c r="L1" t="s">
        <v>355</v>
      </c>
      <c r="M1" t="s">
        <v>356</v>
      </c>
      <c r="N1" t="s">
        <v>357</v>
      </c>
    </row>
    <row r="2" spans="1:14" x14ac:dyDescent="0.2">
      <c r="A2" s="1" t="s">
        <v>148</v>
      </c>
      <c r="B2" s="1" t="s">
        <v>149</v>
      </c>
      <c r="C2" s="1" t="s">
        <v>27</v>
      </c>
      <c r="D2" s="1" t="s">
        <v>31</v>
      </c>
      <c r="E2" t="b">
        <v>0</v>
      </c>
      <c r="F2">
        <v>1.7000000476837158</v>
      </c>
      <c r="G2">
        <v>120</v>
      </c>
      <c r="H2">
        <v>251</v>
      </c>
      <c r="I2">
        <v>1</v>
      </c>
      <c r="J2">
        <v>0.72000002861022949</v>
      </c>
      <c r="K2">
        <v>0.68000000715255737</v>
      </c>
      <c r="L2">
        <v>4.18</v>
      </c>
      <c r="M2" s="1" t="s">
        <v>358</v>
      </c>
      <c r="N2">
        <v>1700.0000476837158</v>
      </c>
    </row>
    <row r="3" spans="1:14" x14ac:dyDescent="0.2">
      <c r="A3" s="1" t="s">
        <v>201</v>
      </c>
      <c r="B3" s="1" t="s">
        <v>202</v>
      </c>
      <c r="C3" s="1" t="s">
        <v>203</v>
      </c>
      <c r="D3" s="1" t="s">
        <v>82</v>
      </c>
      <c r="E3" t="b">
        <v>0</v>
      </c>
      <c r="F3">
        <v>1.6200000047683716</v>
      </c>
      <c r="G3">
        <v>145</v>
      </c>
      <c r="H3">
        <v>173</v>
      </c>
      <c r="I3">
        <v>1</v>
      </c>
      <c r="J3">
        <v>0.86000001430511475</v>
      </c>
      <c r="K3">
        <v>0.79000002145767212</v>
      </c>
      <c r="L3">
        <v>2.88</v>
      </c>
      <c r="M3" s="1" t="s">
        <v>358</v>
      </c>
      <c r="N3">
        <v>1620.0000047683716</v>
      </c>
    </row>
    <row r="4" spans="1:14" x14ac:dyDescent="0.2">
      <c r="A4" s="1" t="s">
        <v>128</v>
      </c>
      <c r="B4" s="1" t="s">
        <v>129</v>
      </c>
      <c r="C4" s="1" t="s">
        <v>27</v>
      </c>
      <c r="D4" s="1" t="s">
        <v>31</v>
      </c>
      <c r="E4" t="b">
        <v>0</v>
      </c>
      <c r="F4">
        <v>1.5499999523162842</v>
      </c>
      <c r="G4">
        <v>104</v>
      </c>
      <c r="H4">
        <v>175</v>
      </c>
      <c r="I4">
        <v>1</v>
      </c>
      <c r="J4">
        <v>0.80000001192092896</v>
      </c>
      <c r="K4">
        <v>0.73000001907348633</v>
      </c>
      <c r="L4">
        <v>2.92</v>
      </c>
      <c r="M4" s="1" t="s">
        <v>358</v>
      </c>
      <c r="N4">
        <v>1549.9999523162842</v>
      </c>
    </row>
    <row r="5" spans="1:14" x14ac:dyDescent="0.2">
      <c r="A5" s="1" t="s">
        <v>359</v>
      </c>
      <c r="B5" s="1" t="s">
        <v>129</v>
      </c>
      <c r="C5" s="1" t="s">
        <v>27</v>
      </c>
      <c r="D5" s="1" t="s">
        <v>31</v>
      </c>
      <c r="E5" t="b">
        <v>0</v>
      </c>
      <c r="F5">
        <v>1.4800000190734863</v>
      </c>
      <c r="G5">
        <v>107</v>
      </c>
      <c r="H5">
        <v>186</v>
      </c>
      <c r="I5">
        <v>1</v>
      </c>
      <c r="J5">
        <v>0.69999998807907104</v>
      </c>
      <c r="K5">
        <v>0.6600000262260437</v>
      </c>
      <c r="L5">
        <v>3.1</v>
      </c>
      <c r="M5" s="1" t="s">
        <v>358</v>
      </c>
      <c r="N5">
        <v>1480.0000190734863</v>
      </c>
    </row>
    <row r="6" spans="1:14" x14ac:dyDescent="0.2">
      <c r="A6" s="1" t="s">
        <v>360</v>
      </c>
      <c r="B6" s="1" t="s">
        <v>129</v>
      </c>
      <c r="C6" s="1" t="s">
        <v>27</v>
      </c>
      <c r="D6" s="1" t="s">
        <v>31</v>
      </c>
      <c r="E6" t="b">
        <v>1</v>
      </c>
      <c r="F6">
        <v>1.4099999666213989</v>
      </c>
      <c r="G6">
        <v>117</v>
      </c>
      <c r="H6">
        <v>177</v>
      </c>
      <c r="I6">
        <v>1</v>
      </c>
      <c r="J6">
        <v>0.77999997138977051</v>
      </c>
      <c r="K6">
        <v>0.69999998807907104</v>
      </c>
      <c r="L6">
        <v>2.95</v>
      </c>
      <c r="M6" s="1" t="s">
        <v>358</v>
      </c>
      <c r="N6">
        <v>1409.9999666213989</v>
      </c>
    </row>
    <row r="7" spans="1:14" x14ac:dyDescent="0.2">
      <c r="A7" s="1" t="s">
        <v>274</v>
      </c>
      <c r="B7" s="1" t="s">
        <v>65</v>
      </c>
      <c r="C7" s="1" t="s">
        <v>56</v>
      </c>
      <c r="D7" s="1" t="s">
        <v>31</v>
      </c>
      <c r="E7" t="b">
        <v>0</v>
      </c>
      <c r="F7">
        <v>1.3799999952316284</v>
      </c>
      <c r="G7">
        <v>88</v>
      </c>
      <c r="H7">
        <v>210</v>
      </c>
      <c r="I7">
        <v>1</v>
      </c>
      <c r="J7">
        <v>0.75</v>
      </c>
      <c r="K7">
        <v>0.43999999761581421</v>
      </c>
      <c r="L7">
        <v>3.5</v>
      </c>
      <c r="M7" s="1" t="s">
        <v>358</v>
      </c>
      <c r="N7">
        <v>1379.9999952316284</v>
      </c>
    </row>
    <row r="8" spans="1:14" x14ac:dyDescent="0.2">
      <c r="A8" s="1" t="s">
        <v>134</v>
      </c>
      <c r="B8" s="1" t="s">
        <v>135</v>
      </c>
      <c r="C8" s="1" t="s">
        <v>43</v>
      </c>
      <c r="D8" s="1" t="s">
        <v>31</v>
      </c>
      <c r="E8" t="b">
        <v>1</v>
      </c>
      <c r="F8">
        <v>1.3500000238418579</v>
      </c>
      <c r="G8">
        <v>101</v>
      </c>
      <c r="H8">
        <v>274</v>
      </c>
      <c r="I8">
        <v>1</v>
      </c>
      <c r="J8">
        <v>0.81999999284744263</v>
      </c>
      <c r="K8">
        <v>0.72000002861022949</v>
      </c>
      <c r="L8">
        <v>4.57</v>
      </c>
      <c r="M8" s="1" t="s">
        <v>358</v>
      </c>
      <c r="N8">
        <v>1350.0000238418579</v>
      </c>
    </row>
    <row r="9" spans="1:14" x14ac:dyDescent="0.2">
      <c r="A9" s="1" t="s">
        <v>291</v>
      </c>
      <c r="B9" s="1" t="s">
        <v>290</v>
      </c>
      <c r="C9" s="1" t="s">
        <v>27</v>
      </c>
      <c r="D9" s="1" t="s">
        <v>31</v>
      </c>
      <c r="E9" t="b">
        <v>0</v>
      </c>
      <c r="F9">
        <v>1.2899999618530273</v>
      </c>
      <c r="G9">
        <v>131</v>
      </c>
      <c r="H9">
        <v>219</v>
      </c>
      <c r="I9">
        <v>1</v>
      </c>
      <c r="J9">
        <v>0.6600000262260437</v>
      </c>
      <c r="K9">
        <v>0.77999997138977051</v>
      </c>
      <c r="L9">
        <v>3.65</v>
      </c>
      <c r="M9" s="1" t="s">
        <v>358</v>
      </c>
      <c r="N9">
        <v>1289.9999618530273</v>
      </c>
    </row>
    <row r="10" spans="1:14" x14ac:dyDescent="0.2">
      <c r="A10" s="1" t="s">
        <v>194</v>
      </c>
      <c r="B10" s="1" t="s">
        <v>195</v>
      </c>
      <c r="C10" s="1" t="s">
        <v>87</v>
      </c>
      <c r="D10" s="1" t="s">
        <v>31</v>
      </c>
      <c r="E10" t="b">
        <v>0</v>
      </c>
      <c r="F10">
        <v>1.2400000095367432</v>
      </c>
      <c r="G10">
        <v>97</v>
      </c>
      <c r="H10">
        <v>211</v>
      </c>
      <c r="I10">
        <v>1</v>
      </c>
      <c r="J10">
        <v>0.46000000834465027</v>
      </c>
      <c r="K10">
        <v>0.68000000715255737</v>
      </c>
      <c r="L10">
        <v>3.52</v>
      </c>
      <c r="M10" s="1" t="s">
        <v>358</v>
      </c>
      <c r="N10">
        <v>1240.0000095367432</v>
      </c>
    </row>
    <row r="11" spans="1:14" x14ac:dyDescent="0.2">
      <c r="A11" s="1" t="s">
        <v>213</v>
      </c>
      <c r="B11" s="1" t="s">
        <v>214</v>
      </c>
      <c r="C11" s="1" t="s">
        <v>215</v>
      </c>
      <c r="D11" s="1" t="s">
        <v>31</v>
      </c>
      <c r="E11" t="b">
        <v>0</v>
      </c>
      <c r="F11">
        <v>1.2000000476837158</v>
      </c>
      <c r="G11">
        <v>90</v>
      </c>
      <c r="H11">
        <v>202</v>
      </c>
      <c r="I11">
        <v>1</v>
      </c>
      <c r="J11">
        <v>0.60000002384185791</v>
      </c>
      <c r="K11">
        <v>0.55000001192092896</v>
      </c>
      <c r="L11">
        <v>3.37</v>
      </c>
      <c r="M11" s="1" t="s">
        <v>358</v>
      </c>
      <c r="N11">
        <v>1200.0000476837158</v>
      </c>
    </row>
    <row r="12" spans="1:14" x14ac:dyDescent="0.2">
      <c r="A12" s="1" t="s">
        <v>216</v>
      </c>
      <c r="B12" s="1" t="s">
        <v>217</v>
      </c>
      <c r="C12" s="1" t="s">
        <v>163</v>
      </c>
      <c r="D12" s="1" t="s">
        <v>218</v>
      </c>
      <c r="E12" t="b">
        <v>0</v>
      </c>
      <c r="F12">
        <v>1.1799999475479126</v>
      </c>
      <c r="G12">
        <v>86</v>
      </c>
      <c r="H12">
        <v>236</v>
      </c>
      <c r="I12">
        <v>1</v>
      </c>
      <c r="J12">
        <v>0.62000000476837158</v>
      </c>
      <c r="K12">
        <v>0.47999998927116394</v>
      </c>
      <c r="L12">
        <v>3.93</v>
      </c>
      <c r="M12" s="1" t="s">
        <v>358</v>
      </c>
      <c r="N12">
        <v>1179.9999475479126</v>
      </c>
    </row>
    <row r="13" spans="1:14" x14ac:dyDescent="0.2">
      <c r="A13" s="1" t="s">
        <v>361</v>
      </c>
      <c r="B13" s="1" t="s">
        <v>65</v>
      </c>
      <c r="C13" s="1" t="s">
        <v>56</v>
      </c>
      <c r="D13" s="1" t="s">
        <v>31</v>
      </c>
      <c r="E13" t="b">
        <v>1</v>
      </c>
      <c r="F13">
        <v>1.1499999761581421</v>
      </c>
      <c r="G13">
        <v>96</v>
      </c>
      <c r="H13">
        <v>172</v>
      </c>
      <c r="I13">
        <v>1</v>
      </c>
      <c r="J13">
        <v>0.69999998807907104</v>
      </c>
      <c r="K13">
        <v>0.51999998092651367</v>
      </c>
      <c r="L13">
        <v>2.87</v>
      </c>
      <c r="M13" s="1" t="s">
        <v>358</v>
      </c>
      <c r="N13">
        <v>1149.9999761581421</v>
      </c>
    </row>
    <row r="14" spans="1:14" x14ac:dyDescent="0.2">
      <c r="A14" s="1" t="s">
        <v>362</v>
      </c>
      <c r="B14" s="1" t="s">
        <v>301</v>
      </c>
      <c r="C14" s="1" t="s">
        <v>203</v>
      </c>
      <c r="D14" s="1" t="s">
        <v>82</v>
      </c>
      <c r="E14" t="b">
        <v>0</v>
      </c>
      <c r="F14">
        <v>1.1200000047683716</v>
      </c>
      <c r="G14">
        <v>140</v>
      </c>
      <c r="H14">
        <v>182</v>
      </c>
      <c r="I14">
        <v>1</v>
      </c>
      <c r="J14">
        <v>0.8399999737739563</v>
      </c>
      <c r="K14">
        <v>0.81999999284744263</v>
      </c>
      <c r="L14">
        <v>3.03</v>
      </c>
      <c r="M14" s="1" t="s">
        <v>358</v>
      </c>
      <c r="N14">
        <v>1120.0000047683716</v>
      </c>
    </row>
    <row r="15" spans="1:14" x14ac:dyDescent="0.2">
      <c r="A15" s="1" t="s">
        <v>342</v>
      </c>
      <c r="B15" s="1" t="s">
        <v>341</v>
      </c>
      <c r="C15" s="1" t="s">
        <v>152</v>
      </c>
      <c r="D15" s="1" t="s">
        <v>31</v>
      </c>
      <c r="E15" t="b">
        <v>1</v>
      </c>
      <c r="F15">
        <v>1.0900000333786011</v>
      </c>
      <c r="G15">
        <v>135</v>
      </c>
      <c r="H15">
        <v>138</v>
      </c>
      <c r="I15">
        <v>1</v>
      </c>
      <c r="J15">
        <v>0.76999998092651367</v>
      </c>
      <c r="K15">
        <v>0.75999999046325684</v>
      </c>
      <c r="L15">
        <v>2.2999999999999998</v>
      </c>
      <c r="M15" s="1" t="s">
        <v>358</v>
      </c>
      <c r="N15">
        <v>1090.0000333786011</v>
      </c>
    </row>
    <row r="16" spans="1:14" x14ac:dyDescent="0.2">
      <c r="A16" s="1" t="s">
        <v>363</v>
      </c>
      <c r="B16" s="1" t="s">
        <v>309</v>
      </c>
      <c r="C16" s="1" t="s">
        <v>310</v>
      </c>
      <c r="D16" s="1" t="s">
        <v>31</v>
      </c>
      <c r="E16" t="b">
        <v>0</v>
      </c>
      <c r="F16">
        <v>1.0700000524520874</v>
      </c>
      <c r="G16">
        <v>93</v>
      </c>
      <c r="H16">
        <v>191</v>
      </c>
      <c r="I16">
        <v>1</v>
      </c>
      <c r="J16">
        <v>0.72000002861022949</v>
      </c>
      <c r="K16">
        <v>0.57999998331069946</v>
      </c>
      <c r="L16">
        <v>3.18</v>
      </c>
      <c r="M16" s="1" t="s">
        <v>358</v>
      </c>
      <c r="N16">
        <v>1070.0000524520874</v>
      </c>
    </row>
    <row r="17" spans="1:14" x14ac:dyDescent="0.2">
      <c r="A17" s="1" t="s">
        <v>364</v>
      </c>
      <c r="B17" s="1" t="s">
        <v>309</v>
      </c>
      <c r="C17" s="1" t="s">
        <v>295</v>
      </c>
      <c r="D17" s="1" t="s">
        <v>31</v>
      </c>
      <c r="E17" t="b">
        <v>0</v>
      </c>
      <c r="F17">
        <v>1.0499999523162842</v>
      </c>
      <c r="G17">
        <v>96</v>
      </c>
      <c r="H17">
        <v>224</v>
      </c>
      <c r="I17">
        <v>1</v>
      </c>
      <c r="J17">
        <v>0.69999998807907104</v>
      </c>
      <c r="K17">
        <v>0.60000002384185791</v>
      </c>
      <c r="L17">
        <v>3.73</v>
      </c>
      <c r="M17" s="1" t="s">
        <v>358</v>
      </c>
      <c r="N17">
        <v>1049.9999523162842</v>
      </c>
    </row>
    <row r="18" spans="1:14" x14ac:dyDescent="0.2">
      <c r="A18" s="1" t="s">
        <v>278</v>
      </c>
      <c r="B18" s="1" t="s">
        <v>365</v>
      </c>
      <c r="C18" s="1" t="s">
        <v>212</v>
      </c>
      <c r="D18" s="1" t="s">
        <v>31</v>
      </c>
      <c r="E18" t="b">
        <v>0</v>
      </c>
      <c r="F18">
        <v>1.0299999713897705</v>
      </c>
      <c r="G18">
        <v>110</v>
      </c>
      <c r="H18">
        <v>192</v>
      </c>
      <c r="I18">
        <v>1</v>
      </c>
      <c r="J18">
        <v>0.74000000953674316</v>
      </c>
      <c r="K18">
        <v>0.64999997615814209</v>
      </c>
      <c r="L18">
        <v>3.2</v>
      </c>
      <c r="M18" s="1" t="s">
        <v>358</v>
      </c>
      <c r="N18">
        <v>1029.9999713897705</v>
      </c>
    </row>
    <row r="19" spans="1:14" x14ac:dyDescent="0.2">
      <c r="A19" s="1" t="s">
        <v>83</v>
      </c>
      <c r="B19" s="1" t="s">
        <v>84</v>
      </c>
      <c r="C19" s="1" t="s">
        <v>27</v>
      </c>
      <c r="D19" s="1" t="s">
        <v>31</v>
      </c>
      <c r="E19" t="b">
        <v>0</v>
      </c>
      <c r="F19">
        <v>0.98000001907348633</v>
      </c>
      <c r="G19">
        <v>118</v>
      </c>
      <c r="H19">
        <v>200</v>
      </c>
      <c r="I19">
        <v>1</v>
      </c>
      <c r="J19">
        <v>0.74000000953674316</v>
      </c>
      <c r="K19">
        <v>0.74000000953674316</v>
      </c>
      <c r="L19">
        <v>3.33</v>
      </c>
      <c r="M19" s="1" t="s">
        <v>358</v>
      </c>
      <c r="N19">
        <v>980.00001907348633</v>
      </c>
    </row>
    <row r="20" spans="1:14" x14ac:dyDescent="0.2">
      <c r="A20" s="1" t="s">
        <v>110</v>
      </c>
      <c r="B20" s="1" t="s">
        <v>97</v>
      </c>
      <c r="C20" s="1" t="s">
        <v>17</v>
      </c>
      <c r="D20" s="1" t="s">
        <v>31</v>
      </c>
      <c r="E20" t="b">
        <v>0</v>
      </c>
      <c r="F20">
        <v>0.95999997854232788</v>
      </c>
      <c r="G20">
        <v>170</v>
      </c>
      <c r="H20">
        <v>178</v>
      </c>
      <c r="I20">
        <v>1</v>
      </c>
      <c r="J20">
        <v>0.55000001192092896</v>
      </c>
      <c r="K20">
        <v>0.69999998807907104</v>
      </c>
      <c r="L20">
        <v>2.97</v>
      </c>
      <c r="M20" s="1" t="s">
        <v>358</v>
      </c>
      <c r="N20">
        <v>959.99997854232788</v>
      </c>
    </row>
    <row r="21" spans="1:14" x14ac:dyDescent="0.2">
      <c r="A21" s="1" t="s">
        <v>269</v>
      </c>
      <c r="B21" s="1" t="s">
        <v>366</v>
      </c>
      <c r="C21" s="1" t="s">
        <v>56</v>
      </c>
      <c r="D21" s="1" t="s">
        <v>31</v>
      </c>
      <c r="E21" t="b">
        <v>0</v>
      </c>
      <c r="F21">
        <v>0.93999999761581421</v>
      </c>
      <c r="G21">
        <v>107</v>
      </c>
      <c r="H21">
        <v>228</v>
      </c>
      <c r="I21">
        <v>1</v>
      </c>
      <c r="J21">
        <v>0.55000001192092896</v>
      </c>
      <c r="K21">
        <v>0.54000002145767212</v>
      </c>
      <c r="L21">
        <v>3.8</v>
      </c>
      <c r="M21" s="1" t="s">
        <v>358</v>
      </c>
      <c r="N21">
        <v>939.99999761581421</v>
      </c>
    </row>
    <row r="22" spans="1:14" x14ac:dyDescent="0.2">
      <c r="A22" s="1" t="s">
        <v>210</v>
      </c>
      <c r="B22" s="1" t="s">
        <v>211</v>
      </c>
      <c r="C22" s="1" t="s">
        <v>212</v>
      </c>
      <c r="D22" s="1" t="s">
        <v>31</v>
      </c>
      <c r="E22" t="b">
        <v>0</v>
      </c>
      <c r="F22">
        <v>0.92000001668930054</v>
      </c>
      <c r="G22">
        <v>106</v>
      </c>
      <c r="H22">
        <v>254</v>
      </c>
      <c r="I22">
        <v>1</v>
      </c>
      <c r="J22">
        <v>0.72000002861022949</v>
      </c>
      <c r="K22">
        <v>0.64999997615814209</v>
      </c>
      <c r="L22">
        <v>4.2300000000000004</v>
      </c>
      <c r="M22" s="1" t="s">
        <v>358</v>
      </c>
      <c r="N22">
        <v>920.00001668930054</v>
      </c>
    </row>
    <row r="23" spans="1:14" x14ac:dyDescent="0.2">
      <c r="A23" s="1" t="s">
        <v>304</v>
      </c>
      <c r="B23" s="1" t="s">
        <v>302</v>
      </c>
      <c r="C23" s="1" t="s">
        <v>295</v>
      </c>
      <c r="D23" s="1" t="s">
        <v>31</v>
      </c>
      <c r="E23" t="b">
        <v>0</v>
      </c>
      <c r="F23">
        <v>0.89999997615814209</v>
      </c>
      <c r="G23">
        <v>87</v>
      </c>
      <c r="H23">
        <v>238</v>
      </c>
      <c r="I23">
        <v>1</v>
      </c>
      <c r="J23">
        <v>0.62000000476837158</v>
      </c>
      <c r="K23">
        <v>0.60000002384185791</v>
      </c>
      <c r="L23">
        <v>3.97</v>
      </c>
      <c r="M23" s="1" t="s">
        <v>358</v>
      </c>
      <c r="N23">
        <v>899.99997615814209</v>
      </c>
    </row>
    <row r="24" spans="1:14" x14ac:dyDescent="0.2">
      <c r="A24" s="1" t="s">
        <v>367</v>
      </c>
      <c r="B24" s="1" t="s">
        <v>368</v>
      </c>
      <c r="C24" s="1" t="s">
        <v>113</v>
      </c>
      <c r="D24" s="1" t="s">
        <v>369</v>
      </c>
      <c r="E24" t="b">
        <v>1</v>
      </c>
      <c r="F24">
        <v>0.87999999523162842</v>
      </c>
      <c r="G24">
        <v>105</v>
      </c>
      <c r="H24">
        <v>165</v>
      </c>
      <c r="I24">
        <v>1</v>
      </c>
      <c r="J24">
        <v>0.86000001430511475</v>
      </c>
      <c r="K24">
        <v>0.80000001192092896</v>
      </c>
      <c r="L24">
        <v>2.75</v>
      </c>
      <c r="M24" s="1" t="s">
        <v>358</v>
      </c>
      <c r="N24">
        <v>879.99999523162842</v>
      </c>
    </row>
    <row r="25" spans="1:14" x14ac:dyDescent="0.2">
      <c r="A25" s="1" t="s">
        <v>370</v>
      </c>
      <c r="B25" s="1" t="s">
        <v>371</v>
      </c>
      <c r="C25" s="1" t="s">
        <v>113</v>
      </c>
      <c r="D25" s="1" t="s">
        <v>284</v>
      </c>
      <c r="E25" t="b">
        <v>0</v>
      </c>
      <c r="F25">
        <v>0.87000000476837158</v>
      </c>
      <c r="G25">
        <v>130</v>
      </c>
      <c r="H25">
        <v>200</v>
      </c>
      <c r="I25">
        <v>1</v>
      </c>
      <c r="J25">
        <v>0.77999997138977051</v>
      </c>
      <c r="K25">
        <v>0.77999997138977051</v>
      </c>
      <c r="L25">
        <v>3.33</v>
      </c>
      <c r="M25" s="1" t="s">
        <v>358</v>
      </c>
      <c r="N25">
        <v>870.00000476837158</v>
      </c>
    </row>
    <row r="26" spans="1:14" x14ac:dyDescent="0.2">
      <c r="A26" s="1" t="s">
        <v>332</v>
      </c>
      <c r="B26" s="1" t="s">
        <v>331</v>
      </c>
      <c r="C26" s="1" t="s">
        <v>30</v>
      </c>
      <c r="D26" s="1" t="s">
        <v>31</v>
      </c>
      <c r="E26" t="b">
        <v>0</v>
      </c>
      <c r="F26">
        <v>0.85000002384185791</v>
      </c>
      <c r="G26">
        <v>100</v>
      </c>
      <c r="H26">
        <v>167</v>
      </c>
      <c r="I26">
        <v>1</v>
      </c>
      <c r="J26">
        <v>0.77999997138977051</v>
      </c>
      <c r="K26">
        <v>0.62000000476837158</v>
      </c>
      <c r="L26">
        <v>2.78</v>
      </c>
      <c r="M26" s="1" t="s">
        <v>358</v>
      </c>
      <c r="N26">
        <v>850.00002384185791</v>
      </c>
    </row>
    <row r="27" spans="1:14" x14ac:dyDescent="0.2">
      <c r="A27" s="1" t="s">
        <v>285</v>
      </c>
      <c r="B27" s="1" t="s">
        <v>283</v>
      </c>
      <c r="C27" s="1" t="s">
        <v>52</v>
      </c>
      <c r="D27" s="1" t="s">
        <v>284</v>
      </c>
      <c r="E27" t="b">
        <v>0</v>
      </c>
      <c r="F27">
        <v>0.8399999737739563</v>
      </c>
      <c r="G27">
        <v>100</v>
      </c>
      <c r="H27">
        <v>202</v>
      </c>
      <c r="I27">
        <v>1</v>
      </c>
      <c r="J27">
        <v>0.80000001192092896</v>
      </c>
      <c r="K27">
        <v>0.72000002861022949</v>
      </c>
      <c r="L27">
        <v>3.37</v>
      </c>
      <c r="M27" s="1" t="s">
        <v>358</v>
      </c>
      <c r="N27">
        <v>839.9999737739563</v>
      </c>
    </row>
    <row r="28" spans="1:14" x14ac:dyDescent="0.2">
      <c r="A28" s="1" t="s">
        <v>372</v>
      </c>
      <c r="B28" s="1" t="s">
        <v>320</v>
      </c>
      <c r="C28" s="1" t="s">
        <v>56</v>
      </c>
      <c r="D28" s="1" t="s">
        <v>31</v>
      </c>
      <c r="E28" t="b">
        <v>0</v>
      </c>
      <c r="F28">
        <v>0.81999999284744263</v>
      </c>
      <c r="G28">
        <v>92</v>
      </c>
      <c r="H28">
        <v>194</v>
      </c>
      <c r="I28">
        <v>1</v>
      </c>
      <c r="J28">
        <v>0.60000002384185791</v>
      </c>
      <c r="K28">
        <v>0.47999998927116394</v>
      </c>
      <c r="L28">
        <v>3.23</v>
      </c>
      <c r="M28" s="1" t="s">
        <v>358</v>
      </c>
      <c r="N28">
        <v>819.99999284744263</v>
      </c>
    </row>
    <row r="29" spans="1:14" x14ac:dyDescent="0.2">
      <c r="A29" s="1" t="s">
        <v>373</v>
      </c>
      <c r="B29" s="1" t="s">
        <v>129</v>
      </c>
      <c r="C29" s="1" t="s">
        <v>27</v>
      </c>
      <c r="D29" s="1" t="s">
        <v>31</v>
      </c>
      <c r="E29" t="b">
        <v>1</v>
      </c>
      <c r="F29">
        <v>0.80000001192092896</v>
      </c>
      <c r="G29">
        <v>104</v>
      </c>
      <c r="H29">
        <v>160</v>
      </c>
      <c r="I29">
        <v>2</v>
      </c>
      <c r="J29">
        <v>0.72000002861022949</v>
      </c>
      <c r="K29">
        <v>0.57999998331069946</v>
      </c>
      <c r="L29">
        <v>2.67</v>
      </c>
      <c r="M29" s="1" t="s">
        <v>358</v>
      </c>
      <c r="N29">
        <v>800.00001192092896</v>
      </c>
    </row>
    <row r="30" spans="1:14" x14ac:dyDescent="0.2">
      <c r="A30" s="1" t="s">
        <v>323</v>
      </c>
      <c r="B30" s="1" t="s">
        <v>322</v>
      </c>
      <c r="C30" s="1" t="s">
        <v>27</v>
      </c>
      <c r="D30" s="1" t="s">
        <v>18</v>
      </c>
      <c r="E30" t="b">
        <v>0</v>
      </c>
      <c r="F30">
        <v>0.79000002145767212</v>
      </c>
      <c r="G30">
        <v>128</v>
      </c>
      <c r="H30">
        <v>177</v>
      </c>
      <c r="I30">
        <v>1</v>
      </c>
      <c r="J30">
        <v>0.80000001192092896</v>
      </c>
      <c r="K30">
        <v>0.72000002861022949</v>
      </c>
      <c r="L30">
        <v>2.95</v>
      </c>
      <c r="M30" s="1" t="s">
        <v>358</v>
      </c>
      <c r="N30">
        <v>790.00002145767212</v>
      </c>
    </row>
    <row r="31" spans="1:14" x14ac:dyDescent="0.2">
      <c r="A31" s="1" t="s">
        <v>374</v>
      </c>
      <c r="B31" s="1" t="s">
        <v>305</v>
      </c>
      <c r="C31" s="1" t="s">
        <v>306</v>
      </c>
      <c r="D31" s="1" t="s">
        <v>307</v>
      </c>
      <c r="E31" t="b">
        <v>0</v>
      </c>
      <c r="F31">
        <v>0.77999997138977051</v>
      </c>
      <c r="G31">
        <v>110</v>
      </c>
      <c r="H31">
        <v>191</v>
      </c>
      <c r="I31">
        <v>2</v>
      </c>
      <c r="J31">
        <v>0.86000001430511475</v>
      </c>
      <c r="K31">
        <v>0.75999999046325684</v>
      </c>
      <c r="L31">
        <v>3.18</v>
      </c>
      <c r="M31" s="1" t="s">
        <v>358</v>
      </c>
      <c r="N31">
        <v>779.99997138977051</v>
      </c>
    </row>
    <row r="32" spans="1:14" x14ac:dyDescent="0.2">
      <c r="A32" s="1" t="s">
        <v>308</v>
      </c>
      <c r="B32" s="1" t="s">
        <v>305</v>
      </c>
      <c r="C32" s="1" t="s">
        <v>306</v>
      </c>
      <c r="D32" s="1" t="s">
        <v>307</v>
      </c>
      <c r="E32" t="b">
        <v>0</v>
      </c>
      <c r="F32">
        <v>0.76999998092651367</v>
      </c>
      <c r="G32">
        <v>107</v>
      </c>
      <c r="H32">
        <v>177</v>
      </c>
      <c r="I32">
        <v>1</v>
      </c>
      <c r="J32">
        <v>0.81999999284744263</v>
      </c>
      <c r="K32">
        <v>0.69999998807907104</v>
      </c>
      <c r="L32">
        <v>2.95</v>
      </c>
      <c r="M32" s="1" t="s">
        <v>358</v>
      </c>
      <c r="N32">
        <v>769.99998092651367</v>
      </c>
    </row>
    <row r="33" spans="1:14" x14ac:dyDescent="0.2">
      <c r="A33" s="1" t="s">
        <v>375</v>
      </c>
      <c r="B33" s="1" t="s">
        <v>97</v>
      </c>
      <c r="C33" s="1" t="s">
        <v>17</v>
      </c>
      <c r="D33" s="1" t="s">
        <v>31</v>
      </c>
      <c r="E33" t="b">
        <v>0</v>
      </c>
      <c r="F33">
        <v>0.75999999046325684</v>
      </c>
      <c r="G33">
        <v>164</v>
      </c>
      <c r="H33">
        <v>213</v>
      </c>
      <c r="I33">
        <v>1</v>
      </c>
      <c r="J33">
        <v>0.63999998569488525</v>
      </c>
      <c r="K33">
        <v>0.74000000953674316</v>
      </c>
      <c r="L33">
        <v>3.55</v>
      </c>
      <c r="M33" s="1" t="s">
        <v>358</v>
      </c>
      <c r="N33">
        <v>759.99999046325684</v>
      </c>
    </row>
    <row r="34" spans="1:14" x14ac:dyDescent="0.2">
      <c r="A34" s="1" t="s">
        <v>376</v>
      </c>
      <c r="B34" s="1" t="s">
        <v>377</v>
      </c>
      <c r="C34" s="1" t="s">
        <v>378</v>
      </c>
      <c r="D34" s="1" t="s">
        <v>31</v>
      </c>
      <c r="E34" t="b">
        <v>0</v>
      </c>
      <c r="F34">
        <v>0.74000000953674316</v>
      </c>
      <c r="G34">
        <v>76</v>
      </c>
      <c r="H34">
        <v>242</v>
      </c>
      <c r="I34">
        <v>1</v>
      </c>
      <c r="J34">
        <v>0.56000000238418579</v>
      </c>
      <c r="K34">
        <v>0.41999998688697815</v>
      </c>
      <c r="L34">
        <v>4.03</v>
      </c>
      <c r="M34" s="1" t="s">
        <v>358</v>
      </c>
      <c r="N34">
        <v>740.00000953674316</v>
      </c>
    </row>
    <row r="35" spans="1:14" x14ac:dyDescent="0.2">
      <c r="A35" s="1" t="s">
        <v>379</v>
      </c>
      <c r="B35" s="1" t="s">
        <v>65</v>
      </c>
      <c r="C35" s="1" t="s">
        <v>56</v>
      </c>
      <c r="D35" s="1" t="s">
        <v>31</v>
      </c>
      <c r="E35" t="b">
        <v>0</v>
      </c>
      <c r="F35">
        <v>0.73000001907348633</v>
      </c>
      <c r="G35">
        <v>90</v>
      </c>
      <c r="H35">
        <v>189</v>
      </c>
      <c r="I35">
        <v>3</v>
      </c>
      <c r="J35">
        <v>0.60000002384185791</v>
      </c>
      <c r="K35">
        <v>0.41999998688697815</v>
      </c>
      <c r="L35">
        <v>3.15</v>
      </c>
      <c r="M35" s="1" t="s">
        <v>358</v>
      </c>
      <c r="N35">
        <v>730.00001907348633</v>
      </c>
    </row>
    <row r="36" spans="1:14" x14ac:dyDescent="0.2">
      <c r="A36" s="1" t="s">
        <v>380</v>
      </c>
      <c r="B36" s="1" t="s">
        <v>290</v>
      </c>
      <c r="C36" s="1" t="s">
        <v>17</v>
      </c>
      <c r="D36" s="1" t="s">
        <v>31</v>
      </c>
      <c r="E36" t="b">
        <v>0</v>
      </c>
      <c r="F36">
        <v>0.72000002861022949</v>
      </c>
      <c r="G36">
        <v>130</v>
      </c>
      <c r="H36">
        <v>251</v>
      </c>
      <c r="I36">
        <v>4</v>
      </c>
      <c r="J36">
        <v>0.72000002861022949</v>
      </c>
      <c r="K36">
        <v>0.80000001192092896</v>
      </c>
      <c r="L36">
        <v>4.18</v>
      </c>
      <c r="M36" s="1" t="s">
        <v>358</v>
      </c>
      <c r="N36">
        <v>720.00002861022949</v>
      </c>
    </row>
    <row r="37" spans="1:14" x14ac:dyDescent="0.2">
      <c r="A37" s="1" t="s">
        <v>381</v>
      </c>
      <c r="B37" s="1" t="s">
        <v>290</v>
      </c>
      <c r="C37" s="1" t="s">
        <v>17</v>
      </c>
      <c r="D37" s="1" t="s">
        <v>31</v>
      </c>
      <c r="E37" t="b">
        <v>0</v>
      </c>
      <c r="F37">
        <v>0.70999997854232788</v>
      </c>
      <c r="G37">
        <v>116</v>
      </c>
      <c r="H37">
        <v>224</v>
      </c>
      <c r="I37">
        <v>5</v>
      </c>
      <c r="J37">
        <v>0.69999998807907104</v>
      </c>
      <c r="K37">
        <v>0.77999997138977051</v>
      </c>
      <c r="L37">
        <v>3.73</v>
      </c>
      <c r="M37" s="1" t="s">
        <v>358</v>
      </c>
      <c r="N37">
        <v>709.99997854232788</v>
      </c>
    </row>
    <row r="38" spans="1:14" x14ac:dyDescent="0.2">
      <c r="A38" s="1" t="s">
        <v>233</v>
      </c>
      <c r="B38" s="1" t="s">
        <v>234</v>
      </c>
      <c r="C38" s="1" t="s">
        <v>109</v>
      </c>
      <c r="D38" s="1" t="s">
        <v>31</v>
      </c>
      <c r="E38" t="b">
        <v>0</v>
      </c>
      <c r="F38">
        <v>0.69999998807907104</v>
      </c>
      <c r="G38">
        <v>139</v>
      </c>
      <c r="H38">
        <v>196</v>
      </c>
      <c r="I38">
        <v>3</v>
      </c>
      <c r="J38">
        <v>0.51999998092651367</v>
      </c>
      <c r="K38">
        <v>0.63999998569488525</v>
      </c>
      <c r="L38">
        <v>3.27</v>
      </c>
      <c r="M38" s="1" t="s">
        <v>358</v>
      </c>
      <c r="N38">
        <v>699.99998807907104</v>
      </c>
    </row>
    <row r="39" spans="1:14" x14ac:dyDescent="0.2">
      <c r="A39" s="1" t="s">
        <v>382</v>
      </c>
      <c r="B39" s="1" t="s">
        <v>135</v>
      </c>
      <c r="C39" s="1" t="s">
        <v>43</v>
      </c>
      <c r="D39" s="1" t="s">
        <v>31</v>
      </c>
      <c r="E39" t="b">
        <v>1</v>
      </c>
      <c r="F39">
        <v>0.68999999761581421</v>
      </c>
      <c r="G39">
        <v>100</v>
      </c>
      <c r="H39">
        <v>285</v>
      </c>
      <c r="I39">
        <v>2</v>
      </c>
      <c r="J39">
        <v>0.69999998807907104</v>
      </c>
      <c r="K39">
        <v>0.68000000715255737</v>
      </c>
      <c r="L39">
        <v>4.75</v>
      </c>
      <c r="M39" s="1" t="s">
        <v>358</v>
      </c>
      <c r="N39">
        <v>689.99999761581421</v>
      </c>
    </row>
    <row r="40" spans="1:14" x14ac:dyDescent="0.2">
      <c r="A40" s="1" t="s">
        <v>276</v>
      </c>
      <c r="B40" s="1" t="s">
        <v>146</v>
      </c>
      <c r="C40" s="1" t="s">
        <v>152</v>
      </c>
      <c r="D40" s="1" t="s">
        <v>31</v>
      </c>
      <c r="E40" t="b">
        <v>0</v>
      </c>
      <c r="F40">
        <v>0.68000000715255737</v>
      </c>
      <c r="G40">
        <v>72</v>
      </c>
      <c r="H40">
        <v>218</v>
      </c>
      <c r="I40">
        <v>1</v>
      </c>
      <c r="J40">
        <v>0.47999998927116394</v>
      </c>
      <c r="K40">
        <v>0.40000000596046448</v>
      </c>
      <c r="L40">
        <v>3.63</v>
      </c>
      <c r="M40" s="1" t="s">
        <v>358</v>
      </c>
      <c r="N40">
        <v>680.00000715255737</v>
      </c>
    </row>
    <row r="41" spans="1:14" x14ac:dyDescent="0.2">
      <c r="A41" s="1" t="s">
        <v>282</v>
      </c>
      <c r="B41" s="1" t="s">
        <v>68</v>
      </c>
      <c r="C41" s="1" t="s">
        <v>87</v>
      </c>
      <c r="D41" s="1" t="s">
        <v>31</v>
      </c>
      <c r="E41" t="b">
        <v>0</v>
      </c>
      <c r="F41">
        <v>0.67000001668930054</v>
      </c>
      <c r="G41">
        <v>91</v>
      </c>
      <c r="H41">
        <v>218</v>
      </c>
      <c r="I41">
        <v>1</v>
      </c>
      <c r="J41">
        <v>0.51999998092651367</v>
      </c>
      <c r="K41">
        <v>0.57999998331069946</v>
      </c>
      <c r="L41">
        <v>3.63</v>
      </c>
      <c r="M41" s="1" t="s">
        <v>358</v>
      </c>
      <c r="N41">
        <v>670.00001668930054</v>
      </c>
    </row>
    <row r="42" spans="1:14" x14ac:dyDescent="0.2">
      <c r="A42" s="1" t="s">
        <v>243</v>
      </c>
      <c r="B42" s="1" t="s">
        <v>244</v>
      </c>
      <c r="C42" s="1" t="s">
        <v>27</v>
      </c>
      <c r="D42" s="1" t="s">
        <v>224</v>
      </c>
      <c r="E42" t="b">
        <v>0</v>
      </c>
      <c r="F42">
        <v>0.6600000262260437</v>
      </c>
      <c r="G42">
        <v>90</v>
      </c>
      <c r="H42">
        <v>184</v>
      </c>
      <c r="I42">
        <v>3</v>
      </c>
      <c r="J42">
        <v>0.6600000262260437</v>
      </c>
      <c r="K42">
        <v>0.54000002145767212</v>
      </c>
      <c r="L42">
        <v>3.07</v>
      </c>
      <c r="M42" s="1" t="s">
        <v>358</v>
      </c>
      <c r="N42">
        <v>660.0000262260437</v>
      </c>
    </row>
    <row r="43" spans="1:14" x14ac:dyDescent="0.2">
      <c r="A43" s="1" t="s">
        <v>383</v>
      </c>
      <c r="B43" s="1" t="s">
        <v>312</v>
      </c>
      <c r="C43" s="1" t="s">
        <v>384</v>
      </c>
      <c r="D43" s="1" t="s">
        <v>24</v>
      </c>
      <c r="E43" t="b">
        <v>0</v>
      </c>
      <c r="F43">
        <v>0.63999998569488525</v>
      </c>
      <c r="G43">
        <v>88</v>
      </c>
      <c r="H43">
        <v>269</v>
      </c>
      <c r="I43">
        <v>4</v>
      </c>
      <c r="J43">
        <v>0.46000000834465027</v>
      </c>
      <c r="K43">
        <v>0.54000002145767212</v>
      </c>
      <c r="L43">
        <v>4.4800000000000004</v>
      </c>
      <c r="M43" s="1" t="s">
        <v>358</v>
      </c>
      <c r="N43">
        <v>639.99998569488525</v>
      </c>
    </row>
    <row r="44" spans="1:14" x14ac:dyDescent="0.2">
      <c r="A44" s="1" t="s">
        <v>385</v>
      </c>
      <c r="B44" s="1" t="s">
        <v>386</v>
      </c>
      <c r="C44" s="1" t="s">
        <v>56</v>
      </c>
      <c r="D44" s="1" t="s">
        <v>31</v>
      </c>
      <c r="E44" t="b">
        <v>0</v>
      </c>
      <c r="F44">
        <v>0.62999999523162842</v>
      </c>
      <c r="G44">
        <v>97</v>
      </c>
      <c r="H44">
        <v>164</v>
      </c>
      <c r="I44">
        <v>22</v>
      </c>
      <c r="J44">
        <v>0.69999998807907104</v>
      </c>
      <c r="K44">
        <v>0.51999998092651367</v>
      </c>
      <c r="L44">
        <v>2.73</v>
      </c>
      <c r="M44" s="1" t="s">
        <v>387</v>
      </c>
      <c r="N44">
        <v>629.99999523162842</v>
      </c>
    </row>
    <row r="45" spans="1:14" x14ac:dyDescent="0.2">
      <c r="A45" s="1" t="s">
        <v>131</v>
      </c>
      <c r="B45" s="1" t="s">
        <v>132</v>
      </c>
      <c r="C45" s="1" t="s">
        <v>133</v>
      </c>
      <c r="D45" s="1" t="s">
        <v>24</v>
      </c>
      <c r="E45" t="b">
        <v>0</v>
      </c>
      <c r="F45">
        <v>0.62000000476837158</v>
      </c>
      <c r="G45">
        <v>112</v>
      </c>
      <c r="H45">
        <v>301</v>
      </c>
      <c r="I45">
        <v>3</v>
      </c>
      <c r="J45">
        <v>0.40999999642372131</v>
      </c>
      <c r="K45">
        <v>0.68000000715255737</v>
      </c>
      <c r="L45">
        <v>5.0199999999999996</v>
      </c>
      <c r="M45" s="1" t="s">
        <v>358</v>
      </c>
      <c r="N45">
        <v>620.00000476837158</v>
      </c>
    </row>
    <row r="46" spans="1:14" x14ac:dyDescent="0.2">
      <c r="A46" s="1" t="s">
        <v>136</v>
      </c>
      <c r="B46" s="1" t="s">
        <v>68</v>
      </c>
      <c r="C46" s="1" t="s">
        <v>137</v>
      </c>
      <c r="D46" s="1" t="s">
        <v>31</v>
      </c>
      <c r="E46" t="b">
        <v>0</v>
      </c>
      <c r="F46">
        <v>0.61000001430511475</v>
      </c>
      <c r="G46">
        <v>166</v>
      </c>
      <c r="H46">
        <v>178</v>
      </c>
      <c r="I46">
        <v>1</v>
      </c>
      <c r="J46">
        <v>0.56000000238418579</v>
      </c>
      <c r="K46">
        <v>0.89999997615814209</v>
      </c>
      <c r="L46">
        <v>2.97</v>
      </c>
      <c r="M46" s="1" t="s">
        <v>358</v>
      </c>
      <c r="N46">
        <v>610.00001430511475</v>
      </c>
    </row>
    <row r="47" spans="1:14" x14ac:dyDescent="0.2">
      <c r="A47" s="1" t="s">
        <v>254</v>
      </c>
      <c r="B47" s="1" t="s">
        <v>97</v>
      </c>
      <c r="C47" s="1" t="s">
        <v>27</v>
      </c>
      <c r="D47" s="1" t="s">
        <v>31</v>
      </c>
      <c r="E47" t="b">
        <v>0</v>
      </c>
      <c r="F47">
        <v>0.60000002384185791</v>
      </c>
      <c r="G47">
        <v>160</v>
      </c>
      <c r="H47">
        <v>219</v>
      </c>
      <c r="I47">
        <v>1</v>
      </c>
      <c r="J47">
        <v>0.64999997615814209</v>
      </c>
      <c r="K47">
        <v>0.80000001192092896</v>
      </c>
      <c r="L47">
        <v>3.65</v>
      </c>
      <c r="M47" s="1" t="s">
        <v>358</v>
      </c>
      <c r="N47">
        <v>600.00002384185791</v>
      </c>
    </row>
    <row r="48" spans="1:14" x14ac:dyDescent="0.2">
      <c r="A48" s="1" t="s">
        <v>388</v>
      </c>
      <c r="B48" s="1" t="s">
        <v>389</v>
      </c>
      <c r="C48" s="1" t="s">
        <v>390</v>
      </c>
      <c r="D48" s="1" t="s">
        <v>391</v>
      </c>
      <c r="E48" t="b">
        <v>0</v>
      </c>
      <c r="F48">
        <v>0.5899999737739563</v>
      </c>
      <c r="G48">
        <v>104</v>
      </c>
      <c r="H48">
        <v>178</v>
      </c>
      <c r="I48">
        <v>2</v>
      </c>
      <c r="J48">
        <v>0.81999999284744263</v>
      </c>
      <c r="K48">
        <v>0.74000000953674316</v>
      </c>
      <c r="L48">
        <v>2.97</v>
      </c>
      <c r="M48" s="1" t="s">
        <v>358</v>
      </c>
      <c r="N48">
        <v>589.9999737739563</v>
      </c>
    </row>
    <row r="49" spans="1:14" x14ac:dyDescent="0.2">
      <c r="A49" s="1" t="s">
        <v>321</v>
      </c>
      <c r="B49" s="1" t="s">
        <v>320</v>
      </c>
      <c r="C49" s="1" t="s">
        <v>56</v>
      </c>
      <c r="D49" s="1" t="s">
        <v>31</v>
      </c>
      <c r="E49" t="b">
        <v>0</v>
      </c>
      <c r="F49">
        <v>0.57999998331069946</v>
      </c>
      <c r="G49">
        <v>97</v>
      </c>
      <c r="H49">
        <v>185</v>
      </c>
      <c r="I49">
        <v>1</v>
      </c>
      <c r="J49">
        <v>0.63999998569488525</v>
      </c>
      <c r="K49">
        <v>0.55000001192092896</v>
      </c>
      <c r="L49">
        <v>3.08</v>
      </c>
      <c r="M49" s="1" t="s">
        <v>358</v>
      </c>
      <c r="N49">
        <v>579.99998331069946</v>
      </c>
    </row>
    <row r="50" spans="1:14" x14ac:dyDescent="0.2">
      <c r="A50" s="1" t="s">
        <v>392</v>
      </c>
      <c r="B50" s="1" t="s">
        <v>302</v>
      </c>
      <c r="C50" s="1" t="s">
        <v>295</v>
      </c>
      <c r="D50" s="1" t="s">
        <v>31</v>
      </c>
      <c r="E50" t="b">
        <v>0</v>
      </c>
      <c r="F50">
        <v>0.56999999284744263</v>
      </c>
      <c r="G50">
        <v>90</v>
      </c>
      <c r="H50">
        <v>218</v>
      </c>
      <c r="I50">
        <v>4</v>
      </c>
      <c r="J50">
        <v>0.60000002384185791</v>
      </c>
      <c r="K50">
        <v>0.56000000238418579</v>
      </c>
      <c r="L50">
        <v>3.63</v>
      </c>
      <c r="M50" s="1" t="s">
        <v>358</v>
      </c>
      <c r="N50">
        <v>569.99999284744263</v>
      </c>
    </row>
    <row r="51" spans="1:14" x14ac:dyDescent="0.2">
      <c r="A51" s="1" t="s">
        <v>275</v>
      </c>
      <c r="B51" s="1" t="s">
        <v>22</v>
      </c>
      <c r="C51" s="1" t="s">
        <v>58</v>
      </c>
      <c r="D51" s="1" t="s">
        <v>24</v>
      </c>
      <c r="E51" t="b">
        <v>0</v>
      </c>
      <c r="F51">
        <v>0.56000000238418579</v>
      </c>
      <c r="G51">
        <v>88</v>
      </c>
      <c r="H51">
        <v>196</v>
      </c>
      <c r="I51">
        <v>3</v>
      </c>
      <c r="J51">
        <v>0.69999998807907104</v>
      </c>
      <c r="K51">
        <v>0.51999998092651367</v>
      </c>
      <c r="L51">
        <v>3.27</v>
      </c>
      <c r="M51" s="1" t="s">
        <v>358</v>
      </c>
      <c r="N51">
        <v>560.00000238418579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288E-EC48-4B6D-B2BA-FDA928CA58CA}">
  <dimension ref="A6:M96"/>
  <sheetViews>
    <sheetView workbookViewId="0"/>
  </sheetViews>
  <sheetFormatPr defaultRowHeight="14.25" x14ac:dyDescent="0.2"/>
  <cols>
    <col min="1" max="1" width="19" bestFit="1" customWidth="1"/>
    <col min="2" max="2" width="27.375" bestFit="1" customWidth="1"/>
    <col min="3" max="3" width="13.125" bestFit="1" customWidth="1"/>
    <col min="4" max="4" width="36" bestFit="1" customWidth="1"/>
    <col min="5" max="5" width="13.125" bestFit="1" customWidth="1"/>
    <col min="6" max="6" width="18" bestFit="1" customWidth="1"/>
    <col min="7" max="7" width="17.375" bestFit="1" customWidth="1"/>
    <col min="8" max="8" width="13.125" bestFit="1" customWidth="1"/>
    <col min="9" max="10" width="18" bestFit="1" customWidth="1"/>
    <col min="11" max="11" width="13.125" bestFit="1" customWidth="1"/>
    <col min="12" max="12" width="18" bestFit="1" customWidth="1"/>
    <col min="13" max="13" width="19.5" bestFit="1" customWidth="1"/>
    <col min="14" max="14" width="13.125" bestFit="1" customWidth="1"/>
    <col min="15" max="15" width="27.375" bestFit="1" customWidth="1"/>
    <col min="16" max="16" width="19.5" bestFit="1" customWidth="1"/>
    <col min="17" max="17" width="11.875" bestFit="1" customWidth="1"/>
    <col min="18" max="18" width="32.25" bestFit="1" customWidth="1"/>
    <col min="19" max="19" width="27" bestFit="1" customWidth="1"/>
    <col min="20" max="21" width="11.875" bestFit="1" customWidth="1"/>
    <col min="22" max="22" width="12" bestFit="1" customWidth="1"/>
    <col min="23" max="26" width="11.875" bestFit="1" customWidth="1"/>
  </cols>
  <sheetData>
    <row r="6" spans="1:11" x14ac:dyDescent="0.2">
      <c r="A6" s="6" t="s">
        <v>406</v>
      </c>
      <c r="B6" s="7"/>
      <c r="C6" s="7"/>
      <c r="D6" s="7"/>
      <c r="E6" s="7"/>
      <c r="F6" s="7"/>
      <c r="G6" s="7"/>
      <c r="H6" s="7"/>
      <c r="I6" s="7"/>
      <c r="J6" s="7"/>
      <c r="K6" s="7"/>
    </row>
    <row r="7" spans="1:11" x14ac:dyDescent="0.2">
      <c r="A7" s="7"/>
      <c r="B7" s="7"/>
      <c r="C7" s="7"/>
      <c r="D7" s="7"/>
      <c r="E7" s="7"/>
      <c r="F7" s="7"/>
      <c r="G7" s="7"/>
      <c r="H7" s="7"/>
      <c r="I7" s="7"/>
      <c r="J7" s="7"/>
      <c r="K7" s="7"/>
    </row>
    <row r="9" spans="1:11" x14ac:dyDescent="0.2">
      <c r="A9" s="5" t="s">
        <v>397</v>
      </c>
      <c r="B9" s="5"/>
      <c r="C9" s="5"/>
      <c r="D9" s="5" t="s">
        <v>398</v>
      </c>
      <c r="E9" s="5"/>
      <c r="F9" s="5"/>
      <c r="G9" s="5"/>
      <c r="H9" s="5" t="s">
        <v>403</v>
      </c>
      <c r="I9" s="5"/>
      <c r="J9" s="5" t="s">
        <v>404</v>
      </c>
      <c r="K9" s="5"/>
    </row>
    <row r="10" spans="1:11" x14ac:dyDescent="0.2">
      <c r="A10" s="5"/>
      <c r="B10" s="5"/>
      <c r="C10" s="5"/>
      <c r="D10" s="5"/>
      <c r="E10" s="5"/>
      <c r="F10" s="5"/>
      <c r="G10" s="5"/>
      <c r="H10" s="5"/>
      <c r="I10" s="5"/>
      <c r="J10" s="5"/>
      <c r="K10" s="5"/>
    </row>
    <row r="11" spans="1:11" x14ac:dyDescent="0.2">
      <c r="A11" s="2" t="s">
        <v>393</v>
      </c>
      <c r="B11" t="s">
        <v>395</v>
      </c>
      <c r="C11" t="s">
        <v>396</v>
      </c>
      <c r="D11" s="2" t="s">
        <v>393</v>
      </c>
      <c r="E11" t="s">
        <v>399</v>
      </c>
      <c r="F11" t="s">
        <v>400</v>
      </c>
      <c r="G11" t="s">
        <v>401</v>
      </c>
      <c r="H11" s="2" t="s">
        <v>393</v>
      </c>
      <c r="I11" t="s">
        <v>402</v>
      </c>
      <c r="J11" s="2" t="s">
        <v>393</v>
      </c>
      <c r="K11" t="s">
        <v>395</v>
      </c>
    </row>
    <row r="12" spans="1:11" x14ac:dyDescent="0.2">
      <c r="A12" s="3" t="s">
        <v>22</v>
      </c>
      <c r="B12" s="1">
        <v>15.620000004768372</v>
      </c>
      <c r="C12" s="1">
        <v>5</v>
      </c>
      <c r="D12" s="3" t="s">
        <v>20</v>
      </c>
      <c r="E12" s="1">
        <v>2.5448351705467309</v>
      </c>
      <c r="F12" s="1">
        <v>0.6604395623390491</v>
      </c>
      <c r="G12" s="1">
        <v>0.62351648460377707</v>
      </c>
      <c r="H12" s="3" t="s">
        <v>83</v>
      </c>
      <c r="I12" s="1">
        <v>0.79</v>
      </c>
      <c r="J12" s="3" t="s">
        <v>27</v>
      </c>
      <c r="K12" s="1">
        <v>43.970000147819519</v>
      </c>
    </row>
    <row r="13" spans="1:11" x14ac:dyDescent="0.2">
      <c r="A13" s="3" t="s">
        <v>55</v>
      </c>
      <c r="B13" s="1">
        <v>13.149999976158142</v>
      </c>
      <c r="C13" s="1">
        <v>5</v>
      </c>
      <c r="D13" s="3" t="s">
        <v>74</v>
      </c>
      <c r="E13" s="1">
        <v>2.293749988079071</v>
      </c>
      <c r="F13" s="1">
        <v>0.31875000521540642</v>
      </c>
      <c r="G13" s="1">
        <v>0.46374999731779099</v>
      </c>
      <c r="H13" s="3" t="s">
        <v>15</v>
      </c>
      <c r="I13" s="1">
        <v>0.65800000000000003</v>
      </c>
      <c r="J13" s="3" t="s">
        <v>56</v>
      </c>
      <c r="K13" s="1">
        <v>29.489999890327454</v>
      </c>
    </row>
    <row r="14" spans="1:11" x14ac:dyDescent="0.2">
      <c r="A14" s="3" t="s">
        <v>16</v>
      </c>
      <c r="B14" s="1">
        <v>11.000000238418579</v>
      </c>
      <c r="C14" s="1">
        <v>3</v>
      </c>
      <c r="D14" s="3" t="s">
        <v>106</v>
      </c>
      <c r="E14" s="1">
        <v>2.5299999713897705</v>
      </c>
      <c r="F14" s="1">
        <v>0.95999997854232788</v>
      </c>
      <c r="G14" s="1">
        <v>0.89999997615814209</v>
      </c>
      <c r="H14" s="3" t="s">
        <v>35</v>
      </c>
      <c r="I14" s="1">
        <v>0.64500000000000002</v>
      </c>
      <c r="J14" s="3" t="s">
        <v>43</v>
      </c>
      <c r="K14" s="1">
        <v>17.930000066757202</v>
      </c>
    </row>
    <row r="15" spans="1:11" x14ac:dyDescent="0.2">
      <c r="A15" s="3" t="s">
        <v>39</v>
      </c>
      <c r="B15" s="1">
        <v>8.9900000095367432</v>
      </c>
      <c r="C15" s="1">
        <v>3</v>
      </c>
      <c r="D15" s="3" t="s">
        <v>394</v>
      </c>
      <c r="E15" s="1">
        <v>2.5246000039577483</v>
      </c>
      <c r="F15" s="1">
        <v>0.63610000193119054</v>
      </c>
      <c r="G15" s="1">
        <v>0.61350000053644183</v>
      </c>
      <c r="H15" s="3" t="s">
        <v>78</v>
      </c>
      <c r="I15" s="1">
        <v>0.64400000000000002</v>
      </c>
      <c r="J15" s="3" t="s">
        <v>17</v>
      </c>
      <c r="K15" s="1">
        <v>16.540000319480896</v>
      </c>
    </row>
    <row r="16" spans="1:11" x14ac:dyDescent="0.2">
      <c r="A16" s="3" t="s">
        <v>97</v>
      </c>
      <c r="B16" s="1">
        <v>7.3100000619888306</v>
      </c>
      <c r="C16" s="1">
        <v>3</v>
      </c>
      <c r="H16" s="3" t="s">
        <v>148</v>
      </c>
      <c r="I16" s="1">
        <v>0.61299999999999999</v>
      </c>
      <c r="J16" s="3" t="s">
        <v>40</v>
      </c>
      <c r="K16" s="1">
        <v>15.930000066757202</v>
      </c>
    </row>
    <row r="17" spans="1:13" x14ac:dyDescent="0.2">
      <c r="A17" s="3" t="s">
        <v>84</v>
      </c>
      <c r="B17" s="1">
        <v>5.2400000095367432</v>
      </c>
      <c r="C17" s="1">
        <v>2</v>
      </c>
      <c r="H17" s="3" t="s">
        <v>93</v>
      </c>
      <c r="I17" s="1">
        <v>0.60399999999999998</v>
      </c>
      <c r="J17" s="3" t="s">
        <v>394</v>
      </c>
      <c r="K17" s="1">
        <v>123.86000049114227</v>
      </c>
    </row>
    <row r="18" spans="1:13" x14ac:dyDescent="0.2">
      <c r="A18" s="3" t="s">
        <v>146</v>
      </c>
      <c r="B18" s="1">
        <v>5.2100000381469727</v>
      </c>
      <c r="C18" s="1">
        <v>2</v>
      </c>
      <c r="H18" s="3" t="s">
        <v>96</v>
      </c>
      <c r="I18" s="1">
        <v>0.59799999999999998</v>
      </c>
    </row>
    <row r="19" spans="1:13" x14ac:dyDescent="0.2">
      <c r="A19" s="3" t="s">
        <v>68</v>
      </c>
      <c r="B19" s="1">
        <v>4.8199999332427979</v>
      </c>
      <c r="C19" s="1">
        <v>2</v>
      </c>
      <c r="H19" s="3" t="s">
        <v>128</v>
      </c>
      <c r="I19" s="1">
        <v>0.58699999999999997</v>
      </c>
    </row>
    <row r="20" spans="1:13" x14ac:dyDescent="0.2">
      <c r="A20" s="3" t="s">
        <v>80</v>
      </c>
      <c r="B20" s="1">
        <v>4.7900000810623169</v>
      </c>
      <c r="C20" s="1">
        <v>2</v>
      </c>
      <c r="H20" s="3" t="s">
        <v>210</v>
      </c>
      <c r="I20" s="1">
        <v>0.56000000000000005</v>
      </c>
    </row>
    <row r="21" spans="1:13" x14ac:dyDescent="0.2">
      <c r="A21" s="3" t="s">
        <v>151</v>
      </c>
      <c r="B21" s="1">
        <v>4.5300000905990601</v>
      </c>
      <c r="C21" s="1">
        <v>2</v>
      </c>
      <c r="H21" s="3" t="s">
        <v>67</v>
      </c>
      <c r="I21" s="1">
        <v>0.55700000000000005</v>
      </c>
    </row>
    <row r="22" spans="1:13" x14ac:dyDescent="0.2">
      <c r="A22" s="3" t="s">
        <v>394</v>
      </c>
      <c r="B22" s="1">
        <v>80.660000443458557</v>
      </c>
      <c r="C22" s="1">
        <v>29</v>
      </c>
      <c r="H22" s="3" t="s">
        <v>394</v>
      </c>
      <c r="I22" s="1">
        <v>0.62560000000000004</v>
      </c>
    </row>
    <row r="23" spans="1:13" x14ac:dyDescent="0.2">
      <c r="A23" s="3"/>
      <c r="B23" s="1"/>
      <c r="C23" s="1"/>
      <c r="H23" s="3"/>
      <c r="I23" s="1"/>
    </row>
    <row r="24" spans="1:13" x14ac:dyDescent="0.2">
      <c r="A24" s="3"/>
      <c r="B24" s="1"/>
      <c r="C24" s="1"/>
      <c r="H24" s="3"/>
      <c r="I24" s="1"/>
    </row>
    <row r="25" spans="1:13" x14ac:dyDescent="0.2">
      <c r="A25" s="10" t="s">
        <v>415</v>
      </c>
      <c r="B25" s="8"/>
      <c r="C25" s="8"/>
      <c r="D25" s="8"/>
      <c r="E25" s="8"/>
      <c r="F25" s="8"/>
      <c r="G25" s="8"/>
      <c r="H25" s="8"/>
      <c r="I25" s="8"/>
      <c r="J25" s="8"/>
      <c r="K25" s="8"/>
      <c r="L25" s="8"/>
      <c r="M25" s="8"/>
    </row>
    <row r="26" spans="1:13" x14ac:dyDescent="0.2">
      <c r="A26" s="8"/>
      <c r="B26" s="8"/>
      <c r="C26" s="8"/>
      <c r="D26" s="8"/>
      <c r="E26" s="8"/>
      <c r="F26" s="8"/>
      <c r="G26" s="8"/>
      <c r="H26" s="8"/>
      <c r="I26" s="8"/>
      <c r="J26" s="8"/>
      <c r="K26" s="8"/>
      <c r="L26" s="8"/>
      <c r="M26" s="8"/>
    </row>
    <row r="27" spans="1:13" x14ac:dyDescent="0.2">
      <c r="A27" s="8"/>
      <c r="B27" s="8"/>
      <c r="C27" s="8"/>
      <c r="D27" s="8"/>
      <c r="E27" s="8"/>
      <c r="F27" s="8"/>
      <c r="G27" s="8"/>
      <c r="H27" s="8"/>
      <c r="I27" s="8"/>
      <c r="J27" s="8"/>
      <c r="K27" s="8"/>
      <c r="L27" s="8"/>
      <c r="M27" s="8"/>
    </row>
    <row r="28" spans="1:13" x14ac:dyDescent="0.2">
      <c r="A28" s="8" t="s">
        <v>410</v>
      </c>
      <c r="B28" s="8"/>
      <c r="D28" s="8" t="s">
        <v>412</v>
      </c>
      <c r="E28" s="8"/>
      <c r="F28" s="9"/>
      <c r="G28" s="8" t="s">
        <v>413</v>
      </c>
      <c r="H28" s="8"/>
      <c r="I28" s="8"/>
      <c r="J28" s="9"/>
      <c r="K28" s="8" t="s">
        <v>414</v>
      </c>
      <c r="L28" s="8"/>
      <c r="M28" s="8"/>
    </row>
    <row r="29" spans="1:13" x14ac:dyDescent="0.2">
      <c r="A29" s="8"/>
      <c r="B29" s="8"/>
      <c r="D29" s="8"/>
      <c r="E29" s="8"/>
      <c r="F29" s="9"/>
      <c r="G29" s="8"/>
      <c r="H29" s="8"/>
      <c r="I29" s="8"/>
      <c r="J29" s="9"/>
      <c r="K29" s="8"/>
      <c r="L29" s="8"/>
      <c r="M29" s="8"/>
    </row>
    <row r="30" spans="1:13" x14ac:dyDescent="0.2">
      <c r="A30" s="2" t="s">
        <v>393</v>
      </c>
      <c r="B30" t="s">
        <v>407</v>
      </c>
      <c r="D30" s="2" t="s">
        <v>393</v>
      </c>
      <c r="E30" t="s">
        <v>408</v>
      </c>
      <c r="G30" s="2" t="s">
        <v>393</v>
      </c>
      <c r="H30" t="s">
        <v>411</v>
      </c>
      <c r="K30" s="2" t="s">
        <v>393</v>
      </c>
      <c r="L30" t="s">
        <v>408</v>
      </c>
      <c r="M30" t="s">
        <v>409</v>
      </c>
    </row>
    <row r="31" spans="1:13" x14ac:dyDescent="0.2">
      <c r="A31" s="3" t="s">
        <v>16</v>
      </c>
      <c r="B31" s="1">
        <v>110.40000152587891</v>
      </c>
      <c r="D31" s="3" t="s">
        <v>302</v>
      </c>
      <c r="E31" s="1">
        <v>32</v>
      </c>
      <c r="G31" s="3" t="s">
        <v>146</v>
      </c>
      <c r="H31" s="1">
        <v>94</v>
      </c>
      <c r="K31" s="3" t="s">
        <v>31</v>
      </c>
      <c r="L31" s="1">
        <v>133</v>
      </c>
      <c r="M31" s="1">
        <v>28</v>
      </c>
    </row>
    <row r="32" spans="1:13" x14ac:dyDescent="0.2">
      <c r="A32" s="3" t="s">
        <v>97</v>
      </c>
      <c r="B32" s="1">
        <v>107.5</v>
      </c>
      <c r="D32" s="3" t="s">
        <v>289</v>
      </c>
      <c r="E32" s="1">
        <v>15</v>
      </c>
      <c r="G32" s="3" t="s">
        <v>271</v>
      </c>
      <c r="H32" s="1">
        <v>89</v>
      </c>
      <c r="K32" s="3" t="s">
        <v>24</v>
      </c>
      <c r="L32" s="1">
        <v>13</v>
      </c>
      <c r="M32" s="1">
        <v>4</v>
      </c>
    </row>
    <row r="33" spans="1:13" x14ac:dyDescent="0.2">
      <c r="A33" s="3" t="s">
        <v>33</v>
      </c>
      <c r="B33" s="1">
        <v>88.599998474121094</v>
      </c>
      <c r="D33" s="3" t="s">
        <v>122</v>
      </c>
      <c r="E33" s="1">
        <v>15</v>
      </c>
      <c r="G33" s="3" t="s">
        <v>195</v>
      </c>
      <c r="H33" s="1">
        <v>22</v>
      </c>
      <c r="K33" s="3" t="s">
        <v>18</v>
      </c>
      <c r="L33" s="1">
        <v>10</v>
      </c>
      <c r="M33" s="1">
        <v>4</v>
      </c>
    </row>
    <row r="34" spans="1:13" x14ac:dyDescent="0.2">
      <c r="A34" s="3" t="s">
        <v>394</v>
      </c>
      <c r="B34" s="1">
        <v>306.5</v>
      </c>
      <c r="D34" s="3" t="s">
        <v>135</v>
      </c>
      <c r="E34" s="1">
        <v>17</v>
      </c>
      <c r="G34" s="3" t="s">
        <v>302</v>
      </c>
      <c r="H34" s="1">
        <v>85</v>
      </c>
      <c r="K34" s="3" t="s">
        <v>394</v>
      </c>
      <c r="L34" s="1">
        <v>156</v>
      </c>
      <c r="M34" s="1">
        <v>36</v>
      </c>
    </row>
    <row r="35" spans="1:13" x14ac:dyDescent="0.2">
      <c r="D35" s="3" t="s">
        <v>394</v>
      </c>
      <c r="E35" s="1">
        <v>79</v>
      </c>
      <c r="G35" s="3" t="s">
        <v>65</v>
      </c>
      <c r="H35" s="1">
        <v>110</v>
      </c>
    </row>
    <row r="36" spans="1:13" x14ac:dyDescent="0.2">
      <c r="G36" s="3" t="s">
        <v>289</v>
      </c>
      <c r="H36" s="1">
        <v>65</v>
      </c>
    </row>
    <row r="37" spans="1:13" x14ac:dyDescent="0.2">
      <c r="G37" s="3" t="s">
        <v>80</v>
      </c>
      <c r="H37" s="1">
        <v>75</v>
      </c>
    </row>
    <row r="38" spans="1:13" x14ac:dyDescent="0.2">
      <c r="G38" s="3" t="s">
        <v>290</v>
      </c>
      <c r="H38" s="1">
        <v>40</v>
      </c>
    </row>
    <row r="39" spans="1:13" x14ac:dyDescent="0.2">
      <c r="G39" s="3" t="s">
        <v>343</v>
      </c>
      <c r="H39" s="1">
        <v>12</v>
      </c>
    </row>
    <row r="40" spans="1:13" x14ac:dyDescent="0.2">
      <c r="G40" s="3" t="s">
        <v>312</v>
      </c>
      <c r="H40" s="1">
        <v>65</v>
      </c>
    </row>
    <row r="41" spans="1:13" x14ac:dyDescent="0.2">
      <c r="G41" s="3" t="s">
        <v>234</v>
      </c>
      <c r="H41" s="1">
        <v>15</v>
      </c>
    </row>
    <row r="42" spans="1:13" x14ac:dyDescent="0.2">
      <c r="G42" s="3" t="s">
        <v>298</v>
      </c>
      <c r="H42" s="1">
        <v>44</v>
      </c>
    </row>
    <row r="43" spans="1:13" x14ac:dyDescent="0.2">
      <c r="G43" s="3" t="s">
        <v>33</v>
      </c>
      <c r="H43" s="1">
        <v>95</v>
      </c>
    </row>
    <row r="44" spans="1:13" x14ac:dyDescent="0.2">
      <c r="G44" s="3" t="s">
        <v>60</v>
      </c>
      <c r="H44" s="1">
        <v>82</v>
      </c>
    </row>
    <row r="45" spans="1:13" x14ac:dyDescent="0.2">
      <c r="G45" s="3" t="s">
        <v>22</v>
      </c>
      <c r="H45" s="1">
        <v>115</v>
      </c>
    </row>
    <row r="46" spans="1:13" x14ac:dyDescent="0.2">
      <c r="G46" s="3" t="s">
        <v>122</v>
      </c>
      <c r="H46" s="1">
        <v>72</v>
      </c>
    </row>
    <row r="47" spans="1:13" x14ac:dyDescent="0.2">
      <c r="G47" s="3" t="s">
        <v>320</v>
      </c>
      <c r="H47" s="1">
        <v>25</v>
      </c>
    </row>
    <row r="48" spans="1:13" x14ac:dyDescent="0.2">
      <c r="G48" s="3" t="s">
        <v>55</v>
      </c>
      <c r="H48" s="1">
        <v>80</v>
      </c>
    </row>
    <row r="49" spans="7:8" x14ac:dyDescent="0.2">
      <c r="G49" s="3" t="s">
        <v>217</v>
      </c>
      <c r="H49" s="1">
        <v>30</v>
      </c>
    </row>
    <row r="50" spans="7:8" x14ac:dyDescent="0.2">
      <c r="G50" s="3" t="s">
        <v>349</v>
      </c>
      <c r="H50" s="1">
        <v>14</v>
      </c>
    </row>
    <row r="51" spans="7:8" x14ac:dyDescent="0.2">
      <c r="G51" s="3" t="s">
        <v>39</v>
      </c>
      <c r="H51" s="1">
        <v>68</v>
      </c>
    </row>
    <row r="52" spans="7:8" x14ac:dyDescent="0.2">
      <c r="G52" s="3" t="s">
        <v>331</v>
      </c>
      <c r="H52" s="1">
        <v>24</v>
      </c>
    </row>
    <row r="53" spans="7:8" x14ac:dyDescent="0.2">
      <c r="G53" s="3" t="s">
        <v>326</v>
      </c>
      <c r="H53" s="1">
        <v>22</v>
      </c>
    </row>
    <row r="54" spans="7:8" x14ac:dyDescent="0.2">
      <c r="G54" s="3" t="s">
        <v>151</v>
      </c>
      <c r="H54" s="1">
        <v>96</v>
      </c>
    </row>
    <row r="55" spans="7:8" x14ac:dyDescent="0.2">
      <c r="G55" s="3" t="s">
        <v>337</v>
      </c>
      <c r="H55" s="1">
        <v>15</v>
      </c>
    </row>
    <row r="56" spans="7:8" x14ac:dyDescent="0.2">
      <c r="G56" s="3" t="s">
        <v>283</v>
      </c>
      <c r="H56" s="1">
        <v>50</v>
      </c>
    </row>
    <row r="57" spans="7:8" x14ac:dyDescent="0.2">
      <c r="G57" s="3" t="s">
        <v>135</v>
      </c>
      <c r="H57" s="1">
        <v>52</v>
      </c>
    </row>
    <row r="58" spans="7:8" x14ac:dyDescent="0.2">
      <c r="G58" s="3" t="s">
        <v>288</v>
      </c>
      <c r="H58" s="1">
        <v>98</v>
      </c>
    </row>
    <row r="59" spans="7:8" x14ac:dyDescent="0.2">
      <c r="G59" s="3" t="s">
        <v>318</v>
      </c>
      <c r="H59" s="1">
        <v>48</v>
      </c>
    </row>
    <row r="60" spans="7:8" x14ac:dyDescent="0.2">
      <c r="G60" s="3" t="s">
        <v>328</v>
      </c>
      <c r="H60" s="1">
        <v>36</v>
      </c>
    </row>
    <row r="61" spans="7:8" x14ac:dyDescent="0.2">
      <c r="G61" s="3" t="s">
        <v>84</v>
      </c>
      <c r="H61" s="1">
        <v>60</v>
      </c>
    </row>
    <row r="62" spans="7:8" x14ac:dyDescent="0.2">
      <c r="G62" s="3" t="s">
        <v>294</v>
      </c>
      <c r="H62" s="1">
        <v>44</v>
      </c>
    </row>
    <row r="63" spans="7:8" x14ac:dyDescent="0.2">
      <c r="G63" s="3" t="s">
        <v>335</v>
      </c>
      <c r="H63" s="1">
        <v>18</v>
      </c>
    </row>
    <row r="64" spans="7:8" x14ac:dyDescent="0.2">
      <c r="G64" s="3" t="s">
        <v>324</v>
      </c>
      <c r="H64" s="1">
        <v>20</v>
      </c>
    </row>
    <row r="65" spans="7:8" x14ac:dyDescent="0.2">
      <c r="G65" s="3" t="s">
        <v>68</v>
      </c>
      <c r="H65" s="1">
        <v>56</v>
      </c>
    </row>
    <row r="66" spans="7:8" x14ac:dyDescent="0.2">
      <c r="G66" s="3" t="s">
        <v>314</v>
      </c>
      <c r="H66" s="1">
        <v>30</v>
      </c>
    </row>
    <row r="67" spans="7:8" x14ac:dyDescent="0.2">
      <c r="G67" s="3" t="s">
        <v>70</v>
      </c>
      <c r="H67" s="1">
        <v>62</v>
      </c>
    </row>
    <row r="68" spans="7:8" x14ac:dyDescent="0.2">
      <c r="G68" s="3" t="s">
        <v>333</v>
      </c>
      <c r="H68" s="1">
        <v>20</v>
      </c>
    </row>
    <row r="69" spans="7:8" x14ac:dyDescent="0.2">
      <c r="G69" s="3" t="s">
        <v>301</v>
      </c>
      <c r="H69" s="1">
        <v>38</v>
      </c>
    </row>
    <row r="70" spans="7:8" x14ac:dyDescent="0.2">
      <c r="G70" s="3" t="s">
        <v>129</v>
      </c>
      <c r="H70" s="1">
        <v>58</v>
      </c>
    </row>
    <row r="71" spans="7:8" x14ac:dyDescent="0.2">
      <c r="G71" s="3" t="s">
        <v>309</v>
      </c>
      <c r="H71" s="1">
        <v>28</v>
      </c>
    </row>
    <row r="72" spans="7:8" x14ac:dyDescent="0.2">
      <c r="G72" s="3" t="s">
        <v>292</v>
      </c>
      <c r="H72" s="1">
        <v>48</v>
      </c>
    </row>
    <row r="73" spans="7:8" x14ac:dyDescent="0.2">
      <c r="G73" s="3" t="s">
        <v>322</v>
      </c>
      <c r="H73" s="1">
        <v>28</v>
      </c>
    </row>
    <row r="74" spans="7:8" x14ac:dyDescent="0.2">
      <c r="G74" s="3" t="s">
        <v>97</v>
      </c>
      <c r="H74" s="1">
        <v>110</v>
      </c>
    </row>
    <row r="75" spans="7:8" x14ac:dyDescent="0.2">
      <c r="G75" s="3" t="s">
        <v>214</v>
      </c>
      <c r="H75" s="1">
        <v>18</v>
      </c>
    </row>
    <row r="76" spans="7:8" x14ac:dyDescent="0.2">
      <c r="G76" s="3" t="s">
        <v>16</v>
      </c>
      <c r="H76" s="1">
        <v>112</v>
      </c>
    </row>
    <row r="77" spans="7:8" x14ac:dyDescent="0.2">
      <c r="G77" s="3" t="s">
        <v>341</v>
      </c>
      <c r="H77" s="1">
        <v>12</v>
      </c>
    </row>
    <row r="78" spans="7:8" x14ac:dyDescent="0.2">
      <c r="G78" s="3" t="s">
        <v>305</v>
      </c>
      <c r="H78" s="1">
        <v>30</v>
      </c>
    </row>
    <row r="79" spans="7:8" x14ac:dyDescent="0.2">
      <c r="G79" s="3" t="s">
        <v>345</v>
      </c>
      <c r="H79" s="1">
        <v>22</v>
      </c>
    </row>
    <row r="80" spans="7:8" x14ac:dyDescent="0.2">
      <c r="G80" s="3" t="s">
        <v>394</v>
      </c>
      <c r="H80" s="1">
        <v>2552</v>
      </c>
    </row>
    <row r="83" spans="1:12" x14ac:dyDescent="0.2">
      <c r="A83" s="5" t="s">
        <v>420</v>
      </c>
      <c r="B83" s="5"/>
      <c r="C83" s="5" t="s">
        <v>421</v>
      </c>
      <c r="D83" s="5"/>
      <c r="E83" s="5" t="s">
        <v>423</v>
      </c>
      <c r="F83" s="5"/>
      <c r="G83" s="5"/>
      <c r="H83" s="5" t="s">
        <v>422</v>
      </c>
      <c r="I83" s="5"/>
    </row>
    <row r="84" spans="1:12" x14ac:dyDescent="0.2">
      <c r="A84" s="5"/>
      <c r="B84" s="5"/>
      <c r="C84" s="5"/>
      <c r="D84" s="5"/>
      <c r="E84" s="5"/>
      <c r="F84" s="5"/>
      <c r="G84" s="5"/>
      <c r="H84" s="5"/>
      <c r="I84" s="5"/>
    </row>
    <row r="85" spans="1:12" x14ac:dyDescent="0.2">
      <c r="A85" s="2" t="s">
        <v>393</v>
      </c>
      <c r="B85" t="s">
        <v>416</v>
      </c>
      <c r="C85" s="2" t="s">
        <v>393</v>
      </c>
      <c r="D85" t="s">
        <v>419</v>
      </c>
      <c r="E85" s="2" t="s">
        <v>393</v>
      </c>
      <c r="F85" t="s">
        <v>396</v>
      </c>
      <c r="H85" s="2" t="s">
        <v>393</v>
      </c>
      <c r="I85" t="s">
        <v>396</v>
      </c>
      <c r="K85" s="2" t="s">
        <v>393</v>
      </c>
      <c r="L85" t="s">
        <v>396</v>
      </c>
    </row>
    <row r="86" spans="1:12" x14ac:dyDescent="0.2">
      <c r="A86" s="3" t="s">
        <v>148</v>
      </c>
      <c r="B86" s="1">
        <v>1.7000000476837158</v>
      </c>
      <c r="C86" s="3" t="s">
        <v>358</v>
      </c>
      <c r="D86" s="1">
        <v>1.5510204081632653</v>
      </c>
      <c r="E86" s="3" t="s">
        <v>358</v>
      </c>
      <c r="F86" s="1">
        <v>49</v>
      </c>
      <c r="H86" s="3" t="s">
        <v>417</v>
      </c>
      <c r="I86" s="1">
        <v>43</v>
      </c>
      <c r="K86" s="3" t="s">
        <v>424</v>
      </c>
      <c r="L86" s="1">
        <v>14</v>
      </c>
    </row>
    <row r="87" spans="1:12" x14ac:dyDescent="0.2">
      <c r="A87" s="3" t="s">
        <v>201</v>
      </c>
      <c r="B87" s="1">
        <v>1.6200000047683716</v>
      </c>
      <c r="C87" s="3" t="s">
        <v>387</v>
      </c>
      <c r="D87" s="1">
        <v>22</v>
      </c>
      <c r="E87" s="3" t="s">
        <v>387</v>
      </c>
      <c r="F87" s="1">
        <v>1</v>
      </c>
      <c r="H87" s="3" t="s">
        <v>418</v>
      </c>
      <c r="I87" s="1">
        <v>7</v>
      </c>
      <c r="K87" s="3" t="s">
        <v>425</v>
      </c>
      <c r="L87" s="1">
        <v>36</v>
      </c>
    </row>
    <row r="88" spans="1:12" x14ac:dyDescent="0.2">
      <c r="A88" s="3" t="s">
        <v>128</v>
      </c>
      <c r="B88" s="1">
        <v>1.5499999523162842</v>
      </c>
      <c r="C88" s="3" t="s">
        <v>394</v>
      </c>
      <c r="D88" s="1">
        <v>1.96</v>
      </c>
      <c r="E88" s="3" t="s">
        <v>394</v>
      </c>
      <c r="F88" s="1">
        <v>50</v>
      </c>
      <c r="H88" s="3" t="s">
        <v>394</v>
      </c>
      <c r="I88" s="1">
        <v>50</v>
      </c>
      <c r="K88" s="3" t="s">
        <v>394</v>
      </c>
      <c r="L88" s="1">
        <v>50</v>
      </c>
    </row>
    <row r="89" spans="1:12" x14ac:dyDescent="0.2">
      <c r="A89" s="3" t="s">
        <v>359</v>
      </c>
      <c r="B89" s="1">
        <v>1.4800000190734863</v>
      </c>
    </row>
    <row r="90" spans="1:12" x14ac:dyDescent="0.2">
      <c r="A90" s="3" t="s">
        <v>360</v>
      </c>
      <c r="B90" s="1">
        <v>1.4099999666213989</v>
      </c>
    </row>
    <row r="91" spans="1:12" x14ac:dyDescent="0.2">
      <c r="A91" s="3" t="s">
        <v>274</v>
      </c>
      <c r="B91" s="1">
        <v>1.3799999952316284</v>
      </c>
    </row>
    <row r="92" spans="1:12" x14ac:dyDescent="0.2">
      <c r="A92" s="3" t="s">
        <v>134</v>
      </c>
      <c r="B92" s="1">
        <v>1.3500000238418579</v>
      </c>
    </row>
    <row r="93" spans="1:12" x14ac:dyDescent="0.2">
      <c r="A93" s="3" t="s">
        <v>291</v>
      </c>
      <c r="B93" s="1">
        <v>1.2899999618530273</v>
      </c>
    </row>
    <row r="94" spans="1:12" x14ac:dyDescent="0.2">
      <c r="A94" s="3" t="s">
        <v>194</v>
      </c>
      <c r="B94" s="1">
        <v>1.2400000095367432</v>
      </c>
    </row>
    <row r="95" spans="1:12" x14ac:dyDescent="0.2">
      <c r="A95" s="3" t="s">
        <v>213</v>
      </c>
      <c r="B95" s="1">
        <v>1.2000000476837158</v>
      </c>
    </row>
    <row r="96" spans="1:12" x14ac:dyDescent="0.2">
      <c r="A96" s="3" t="s">
        <v>394</v>
      </c>
      <c r="B96" s="1">
        <v>14.220000028610229</v>
      </c>
    </row>
  </sheetData>
  <mergeCells count="14">
    <mergeCell ref="A83:B84"/>
    <mergeCell ref="C83:D84"/>
    <mergeCell ref="E83:G84"/>
    <mergeCell ref="H83:I84"/>
    <mergeCell ref="A28:B29"/>
    <mergeCell ref="D28:E29"/>
    <mergeCell ref="G28:I29"/>
    <mergeCell ref="K28:M29"/>
    <mergeCell ref="A25:M27"/>
    <mergeCell ref="A9:C10"/>
    <mergeCell ref="D9:G10"/>
    <mergeCell ref="H9:I10"/>
    <mergeCell ref="J9:K10"/>
    <mergeCell ref="A6:K7"/>
  </mergeCells>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A2B3-94B9-42F5-9A63-B03A34A48523}">
  <dimension ref="A1"/>
  <sheetViews>
    <sheetView showGridLines="0" showRowColHeaders="0" tabSelected="1" workbookViewId="0"/>
  </sheetViews>
  <sheetFormatPr defaultRowHeight="14.2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F4EC6-2E29-43A9-ADE8-35EA3A4EA206}">
  <dimension ref="A1"/>
  <sheetViews>
    <sheetView showGridLines="0" showRowColHeaders="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B465-C2CF-4B0D-885B-7920F54C6AA2}">
  <dimension ref="A1"/>
  <sheetViews>
    <sheetView showGridLines="0" showRowColHeaders="0" workbookViewId="0"/>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DD65-8522-464F-ADC2-67C68AC981F5}">
  <dimension ref="A1:D7"/>
  <sheetViews>
    <sheetView showGridLines="0" showRowColHeaders="0" workbookViewId="0"/>
  </sheetViews>
  <sheetFormatPr defaultRowHeight="14.25" x14ac:dyDescent="0.2"/>
  <sheetData>
    <row r="1" spans="1:4" ht="24" x14ac:dyDescent="0.2">
      <c r="A1" s="4" t="s">
        <v>405</v>
      </c>
    </row>
    <row r="7" spans="1:4" ht="24" x14ac:dyDescent="0.2">
      <c r="D7" s="4" t="s">
        <v>405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55C0E0-F5BD-4457-A4B5-E6E9AE0B6C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top_100</vt:lpstr>
      <vt:lpstr>50فنان </vt:lpstr>
      <vt:lpstr>50اغنيه</vt:lpstr>
      <vt:lpstr>pivot_top100</vt:lpstr>
      <vt:lpstr>Dashboard</vt:lpstr>
      <vt:lpstr>Dashdord_50اغنيه </vt:lpstr>
      <vt:lpstr>Dashboard_top100</vt:lpstr>
      <vt:lpstr>Dashboard_50فنان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K.Asus</dc:creator>
  <cp:lastModifiedBy>K.Asus</cp:lastModifiedBy>
  <dcterms:created xsi:type="dcterms:W3CDTF">2026-03-30T00:49:19Z</dcterms:created>
  <dcterms:modified xsi:type="dcterms:W3CDTF">2026-03-30T14:07:09Z</dcterms:modified>
</cp:coreProperties>
</file>